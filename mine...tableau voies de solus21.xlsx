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1" l="1"/>
  <c r="AF8" i="1"/>
  <c r="AF4" i="1"/>
  <c r="AJ12" i="1" l="1"/>
  <c r="AJ8" i="1"/>
  <c r="AJ4" i="1"/>
  <c r="T8" i="1"/>
  <c r="T12" i="1"/>
  <c r="T16" i="1"/>
  <c r="T4" i="1"/>
  <c r="X24" i="1"/>
  <c r="X19" i="1"/>
  <c r="X4" i="1" l="1"/>
  <c r="X9" i="1"/>
  <c r="AB16" i="1" l="1"/>
  <c r="AB12" i="1"/>
  <c r="AB8" i="1"/>
  <c r="AB4" i="1"/>
  <c r="X14" i="1"/>
  <c r="D8" i="1" l="1"/>
  <c r="H8" i="1"/>
  <c r="H12" i="1"/>
  <c r="H16" i="1"/>
  <c r="H4" i="1"/>
  <c r="D12" i="1"/>
  <c r="D16" i="1"/>
  <c r="D4" i="1"/>
  <c r="P12" i="1"/>
  <c r="P8" i="1"/>
  <c r="P4" i="1"/>
  <c r="L16" i="1"/>
  <c r="L12" i="1"/>
  <c r="L8" i="1"/>
  <c r="L4" i="1"/>
</calcChain>
</file>

<file path=xl/sharedStrings.xml><?xml version="1.0" encoding="utf-8"?>
<sst xmlns="http://schemas.openxmlformats.org/spreadsheetml/2006/main" count="241" uniqueCount="164">
  <si>
    <t>ETUDE DES VOIES DE SOLUTIONS Mini-projet "Radar de Recul"</t>
  </si>
  <si>
    <t>Voies de solutions</t>
  </si>
  <si>
    <t>Critères</t>
  </si>
  <si>
    <t>Notation (0 à 5)</t>
  </si>
  <si>
    <t>TOTAL</t>
  </si>
  <si>
    <r>
      <t xml:space="preserve">Capteur laser           </t>
    </r>
    <r>
      <rPr>
        <b/>
        <sz val="11"/>
        <color rgb="FF92D050"/>
        <rFont val="Comic Sans MS"/>
        <family val="4"/>
      </rPr>
      <t>36220 sur gotronic</t>
    </r>
  </si>
  <si>
    <r>
      <t xml:space="preserve">Précision                                   </t>
    </r>
    <r>
      <rPr>
        <sz val="11"/>
        <color rgb="FF92D050"/>
        <rFont val="Comic Sans MS"/>
        <family val="4"/>
      </rPr>
      <t>± 5 cm de 0,1 à 6 m
± 1 % de 6 à 12 m</t>
    </r>
  </si>
  <si>
    <t xml:space="preserve">Bande collante </t>
  </si>
  <si>
    <r>
      <t xml:space="preserve">Retirer facilement                                       </t>
    </r>
    <r>
      <rPr>
        <sz val="11"/>
        <color rgb="FF92D050"/>
        <rFont val="Comic Sans MS"/>
        <family val="4"/>
      </rPr>
      <t>+de 20min</t>
    </r>
  </si>
  <si>
    <t>écran LCD</t>
  </si>
  <si>
    <t>haut parleur</t>
  </si>
  <si>
    <t>Panneau solaire 
thermique</t>
  </si>
  <si>
    <r>
      <t xml:space="preserve">Tension                            </t>
    </r>
    <r>
      <rPr>
        <sz val="11"/>
        <color rgb="FF92D050"/>
        <rFont val="Comic Sans MS"/>
        <family val="4"/>
      </rPr>
      <t xml:space="preserve">21.6 V              </t>
    </r>
    <r>
      <rPr>
        <sz val="11"/>
        <color theme="0"/>
        <rFont val="Comic Sans MS"/>
        <family val="4"/>
      </rPr>
      <t xml:space="preserve">    </t>
    </r>
  </si>
  <si>
    <t>Boitier PTFE</t>
  </si>
  <si>
    <r>
      <t xml:space="preserve">Plage de mesure                    </t>
    </r>
    <r>
      <rPr>
        <sz val="11"/>
        <color rgb="FF92D050"/>
        <rFont val="Comic Sans MS"/>
        <family val="4"/>
      </rPr>
      <t>10 cm à 12 m</t>
    </r>
  </si>
  <si>
    <t>Fréquence de résonance</t>
  </si>
  <si>
    <r>
      <t xml:space="preserve">Intensité                                  </t>
    </r>
    <r>
      <rPr>
        <sz val="11"/>
        <color rgb="FF92D050"/>
        <rFont val="Comic Sans MS"/>
        <family val="4"/>
      </rPr>
      <t xml:space="preserve">0,45A   </t>
    </r>
    <r>
      <rPr>
        <sz val="11"/>
        <color theme="0"/>
        <rFont val="Comic Sans MS"/>
        <family val="4"/>
      </rPr>
      <t xml:space="preserve">        </t>
    </r>
  </si>
  <si>
    <r>
      <t xml:space="preserve">Résolution                                 </t>
    </r>
    <r>
      <rPr>
        <sz val="11"/>
        <color rgb="FF92D050"/>
        <rFont val="Comic Sans MS"/>
        <family val="4"/>
      </rPr>
      <t>5 mm</t>
    </r>
  </si>
  <si>
    <r>
      <t xml:space="preserve">Installer rapidement                                    </t>
    </r>
    <r>
      <rPr>
        <sz val="11"/>
        <color rgb="FF92D050"/>
        <rFont val="Comic Sans MS"/>
        <family val="4"/>
      </rPr>
      <t>-de 2min</t>
    </r>
  </si>
  <si>
    <r>
      <t xml:space="preserve">Taille                                           </t>
    </r>
    <r>
      <rPr>
        <sz val="11"/>
        <color rgb="FF92D050"/>
        <rFont val="Comic Sans MS"/>
        <family val="4"/>
      </rPr>
      <t>2,4×7,1 cm</t>
    </r>
  </si>
  <si>
    <t>Bande passante</t>
  </si>
  <si>
    <r>
      <t xml:space="preserve">Prix                                             </t>
    </r>
    <r>
      <rPr>
        <sz val="11"/>
        <color rgb="FF92D050"/>
        <rFont val="Comic Sans MS"/>
        <family val="4"/>
      </rPr>
      <t>45,60 euros</t>
    </r>
  </si>
  <si>
    <r>
      <rPr>
        <strike/>
        <sz val="11"/>
        <color theme="0"/>
        <rFont val="Comic Sans MS"/>
        <family val="4"/>
      </rPr>
      <t>Installer de façon sûre</t>
    </r>
    <r>
      <rPr>
        <sz val="11"/>
        <color theme="0"/>
        <rFont val="Comic Sans MS"/>
        <family val="4"/>
      </rPr>
      <t xml:space="preserve"> </t>
    </r>
  </si>
  <si>
    <t>-</t>
  </si>
  <si>
    <r>
      <t xml:space="preserve">dimensions                         </t>
    </r>
    <r>
      <rPr>
        <sz val="11"/>
        <color rgb="FF92D050"/>
        <rFont val="Comic Sans MS"/>
        <family val="4"/>
      </rPr>
      <t>390 x 250 x 3 mm</t>
    </r>
  </si>
  <si>
    <t>Capteur Infra-rouge</t>
  </si>
  <si>
    <r>
      <t xml:space="preserve">Précision                                                                      </t>
    </r>
    <r>
      <rPr>
        <sz val="11"/>
        <color rgb="FF92D050"/>
        <rFont val="Comic Sans MS"/>
        <family val="4"/>
      </rPr>
      <t>80%</t>
    </r>
  </si>
  <si>
    <t>Système vis /écrou</t>
  </si>
  <si>
    <r>
      <t xml:space="preserve">Retirer facilement                              </t>
    </r>
    <r>
      <rPr>
        <sz val="11"/>
        <color rgb="FF92D050"/>
        <rFont val="Comic Sans MS"/>
        <family val="4"/>
      </rPr>
      <t>-de 10min</t>
    </r>
  </si>
  <si>
    <t>apli smartphone</t>
  </si>
  <si>
    <r>
      <t xml:space="preserve">Résolution                                </t>
    </r>
    <r>
      <rPr>
        <sz val="11"/>
        <color rgb="FF92D050"/>
        <rFont val="Comic Sans MS"/>
        <family val="4"/>
      </rPr>
      <t>x</t>
    </r>
  </si>
  <si>
    <t>buzzer</t>
  </si>
  <si>
    <t>Panneau solaire 
photovoltaïque</t>
  </si>
  <si>
    <r>
      <t xml:space="preserve">Tension                                        </t>
    </r>
    <r>
      <rPr>
        <sz val="11"/>
        <color rgb="FF92D050"/>
        <rFont val="Comic Sans MS"/>
        <family val="4"/>
      </rPr>
      <t xml:space="preserve">6 V      </t>
    </r>
    <r>
      <rPr>
        <sz val="11"/>
        <color theme="0"/>
        <rFont val="Comic Sans MS"/>
        <family val="4"/>
      </rPr>
      <t xml:space="preserve">           </t>
    </r>
  </si>
  <si>
    <t>durée de vie</t>
  </si>
  <si>
    <r>
      <t xml:space="preserve">Plage de mesure                               </t>
    </r>
    <r>
      <rPr>
        <sz val="11"/>
        <color rgb="FF92D050"/>
        <rFont val="Comic Sans MS"/>
        <family val="4"/>
      </rPr>
      <t>4 à 15 mm</t>
    </r>
  </si>
  <si>
    <r>
      <t xml:space="preserve">Luminosité                                                      </t>
    </r>
    <r>
      <rPr>
        <sz val="11"/>
        <color rgb="FF92D050"/>
        <rFont val="Comic Sans MS"/>
        <family val="4"/>
      </rPr>
      <t>x</t>
    </r>
  </si>
  <si>
    <r>
      <t xml:space="preserve">Intensité                               </t>
    </r>
    <r>
      <rPr>
        <sz val="11"/>
        <color rgb="FF92D050"/>
        <rFont val="Comic Sans MS"/>
        <family val="4"/>
      </rPr>
      <t xml:space="preserve">1,7A  </t>
    </r>
    <r>
      <rPr>
        <sz val="11"/>
        <color theme="0"/>
        <rFont val="Comic Sans MS"/>
        <family val="4"/>
      </rPr>
      <t xml:space="preserve">               </t>
    </r>
  </si>
  <si>
    <t>Boitier PVC</t>
  </si>
  <si>
    <r>
      <t xml:space="preserve">Résolution                                                   </t>
    </r>
    <r>
      <rPr>
        <sz val="11"/>
        <color rgb="FF92D050"/>
        <rFont val="Comic Sans MS"/>
        <family val="4"/>
      </rPr>
      <t>1mm</t>
    </r>
  </si>
  <si>
    <r>
      <t xml:space="preserve">Installer rapidement                                                                               </t>
    </r>
    <r>
      <rPr>
        <sz val="11"/>
        <color rgb="FF92D050"/>
        <rFont val="Comic Sans MS"/>
        <family val="4"/>
      </rPr>
      <t>-de 10min</t>
    </r>
  </si>
  <si>
    <r>
      <t xml:space="preserve">Taille                                                                            </t>
    </r>
    <r>
      <rPr>
        <sz val="11"/>
        <color rgb="FF92D050"/>
        <rFont val="Comic Sans MS"/>
        <family val="4"/>
      </rPr>
      <t>x</t>
    </r>
  </si>
  <si>
    <t>résister à l'eau</t>
  </si>
  <si>
    <r>
      <t xml:space="preserve">Prix                                              </t>
    </r>
    <r>
      <rPr>
        <sz val="11"/>
        <color rgb="FF92D050"/>
        <rFont val="Comic Sans MS"/>
        <family val="4"/>
      </rPr>
      <t>5,40 euros</t>
    </r>
  </si>
  <si>
    <r>
      <t xml:space="preserve">dimensions                           </t>
    </r>
    <r>
      <rPr>
        <sz val="11"/>
        <color rgb="FF92D050"/>
        <rFont val="Comic Sans MS"/>
        <family val="4"/>
      </rPr>
      <t xml:space="preserve">26x14x0.3cm </t>
    </r>
  </si>
  <si>
    <t>résister aux chocs</t>
  </si>
  <si>
    <t>Détecteur inductif</t>
  </si>
  <si>
    <r>
      <t xml:space="preserve">Précision                                           </t>
    </r>
    <r>
      <rPr>
        <sz val="11"/>
        <color rgb="FF92D050"/>
        <rFont val="Comic Sans MS"/>
        <family val="4"/>
      </rPr>
      <t>0%</t>
    </r>
  </si>
  <si>
    <t>rivets</t>
  </si>
  <si>
    <r>
      <t xml:space="preserve">Retirer facilement                          </t>
    </r>
    <r>
      <rPr>
        <sz val="11"/>
        <color rgb="FF92D050"/>
        <rFont val="Comic Sans MS"/>
        <family val="4"/>
      </rPr>
      <t>+de 30min</t>
    </r>
  </si>
  <si>
    <t>écran LED</t>
  </si>
  <si>
    <r>
      <t xml:space="preserve">Résolution                                         </t>
    </r>
    <r>
      <rPr>
        <sz val="11"/>
        <color rgb="FF92D050"/>
        <rFont val="Comic Sans MS"/>
        <family val="4"/>
      </rPr>
      <t>x</t>
    </r>
  </si>
  <si>
    <t>sonette
éléctrique</t>
  </si>
  <si>
    <t>Batterie</t>
  </si>
  <si>
    <r>
      <t xml:space="preserve">Tension                                            </t>
    </r>
    <r>
      <rPr>
        <sz val="11"/>
        <color rgb="FF92D050"/>
        <rFont val="Comic Sans MS"/>
        <family val="4"/>
      </rPr>
      <t xml:space="preserve">5,0 V                </t>
    </r>
    <r>
      <rPr>
        <sz val="11"/>
        <color theme="0"/>
        <rFont val="Comic Sans MS"/>
        <family val="4"/>
      </rPr>
      <t xml:space="preserve">     </t>
    </r>
  </si>
  <si>
    <r>
      <t xml:space="preserve">Plage de mesure                                  </t>
    </r>
    <r>
      <rPr>
        <sz val="11"/>
        <color rgb="FF92D050"/>
        <rFont val="Comic Sans MS"/>
        <family val="4"/>
      </rPr>
      <t>0</t>
    </r>
  </si>
  <si>
    <r>
      <t xml:space="preserve">Luminosité                               </t>
    </r>
    <r>
      <rPr>
        <sz val="11"/>
        <color rgb="FF92D050"/>
        <rFont val="Comic Sans MS"/>
        <family val="4"/>
      </rPr>
      <t>1500 à 2500 nits</t>
    </r>
  </si>
  <si>
    <r>
      <t xml:space="preserve">Intensité                                </t>
    </r>
    <r>
      <rPr>
        <sz val="11"/>
        <color rgb="FF92D050"/>
        <rFont val="Comic Sans MS"/>
        <family val="4"/>
      </rPr>
      <t xml:space="preserve">1A          </t>
    </r>
    <r>
      <rPr>
        <sz val="11"/>
        <color theme="0"/>
        <rFont val="Comic Sans MS"/>
        <family val="4"/>
      </rPr>
      <t xml:space="preserve">     </t>
    </r>
  </si>
  <si>
    <r>
      <t xml:space="preserve">Résolution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0</t>
    </r>
  </si>
  <si>
    <r>
      <t xml:space="preserve">Installer rapidement                                                    </t>
    </r>
    <r>
      <rPr>
        <sz val="11"/>
        <color rgb="FF92D050"/>
        <rFont val="Comic Sans MS"/>
        <family val="4"/>
      </rPr>
      <t>-de 2min</t>
    </r>
  </si>
  <si>
    <r>
      <t xml:space="preserve">Taille                                                     </t>
    </r>
    <r>
      <rPr>
        <sz val="11"/>
        <color rgb="FF92D050"/>
        <rFont val="Comic Sans MS"/>
        <family val="4"/>
      </rPr>
      <t>x</t>
    </r>
  </si>
  <si>
    <r>
      <t xml:space="preserve">Prix                                  </t>
    </r>
    <r>
      <rPr>
        <sz val="11"/>
        <color rgb="FF92D050"/>
        <rFont val="Comic Sans MS"/>
        <family val="4"/>
      </rPr>
      <t xml:space="preserve">26,16 euros   </t>
    </r>
    <r>
      <rPr>
        <sz val="11"/>
        <color theme="0"/>
        <rFont val="Comic Sans MS"/>
        <family val="4"/>
      </rPr>
      <t xml:space="preserve">                              </t>
    </r>
  </si>
  <si>
    <t>Boitier ABS</t>
  </si>
  <si>
    <r>
      <t xml:space="preserve">Prix                                                        </t>
    </r>
    <r>
      <rPr>
        <sz val="11"/>
        <color rgb="FF92D050"/>
        <rFont val="Comic Sans MS"/>
        <family val="4"/>
      </rPr>
      <t>6 euros</t>
    </r>
  </si>
  <si>
    <r>
      <t xml:space="preserve">dimensions                               </t>
    </r>
    <r>
      <rPr>
        <sz val="11"/>
        <color rgb="FF92D050"/>
        <rFont val="Comic Sans MS"/>
        <family val="4"/>
      </rPr>
      <t>96+- 1 mm x 
64+- 1 mm x 
22+- 1mm</t>
    </r>
  </si>
  <si>
    <r>
      <t xml:space="preserve">Capteur ultrason                                     </t>
    </r>
    <r>
      <rPr>
        <b/>
        <sz val="11"/>
        <color rgb="FF92D050"/>
        <rFont val="Comic Sans MS"/>
        <family val="4"/>
      </rPr>
      <t>HC-SR04</t>
    </r>
  </si>
  <si>
    <t>Velcro</t>
  </si>
  <si>
    <r>
      <t xml:space="preserve">Retirer facilement                                </t>
    </r>
    <r>
      <rPr>
        <sz val="11"/>
        <color rgb="FF92D050"/>
        <rFont val="Comic Sans MS"/>
        <family val="4"/>
      </rPr>
      <t>-d'une min</t>
    </r>
  </si>
  <si>
    <t>Matrice de LED</t>
  </si>
  <si>
    <t>Dynamo</t>
  </si>
  <si>
    <r>
      <t xml:space="preserve">Tension                               </t>
    </r>
    <r>
      <rPr>
        <sz val="11"/>
        <color rgb="FF92D050"/>
        <rFont val="Comic Sans MS"/>
        <family val="4"/>
      </rPr>
      <t xml:space="preserve">5-24V         </t>
    </r>
    <r>
      <rPr>
        <sz val="11"/>
        <color theme="0"/>
        <rFont val="Comic Sans MS"/>
        <family val="4"/>
      </rPr>
      <t xml:space="preserve">           </t>
    </r>
  </si>
  <si>
    <r>
      <t xml:space="preserve">Plage de mesure                                   </t>
    </r>
    <r>
      <rPr>
        <sz val="11"/>
        <color rgb="FF92D050"/>
        <rFont val="Comic Sans MS"/>
        <family val="4"/>
      </rPr>
      <t>2 cm à 4,5 m</t>
    </r>
  </si>
  <si>
    <r>
      <t xml:space="preserve">Luminosité                                        </t>
    </r>
    <r>
      <rPr>
        <sz val="11"/>
        <color rgb="FF92D050"/>
        <rFont val="Comic Sans MS"/>
        <family val="4"/>
      </rPr>
      <t>1 500 nits</t>
    </r>
  </si>
  <si>
    <r>
      <t xml:space="preserve">Intensité                                  </t>
    </r>
    <r>
      <rPr>
        <sz val="11"/>
        <color rgb="FF92D050"/>
        <rFont val="Comic Sans MS"/>
        <family val="4"/>
      </rPr>
      <t xml:space="preserve">1,5A              </t>
    </r>
  </si>
  <si>
    <r>
      <t xml:space="preserve">Résolution                                      </t>
    </r>
    <r>
      <rPr>
        <sz val="11"/>
        <color rgb="FF92D050"/>
        <rFont val="Comic Sans MS"/>
        <family val="4"/>
      </rPr>
      <t>(à chiffrer)</t>
    </r>
  </si>
  <si>
    <r>
      <t xml:space="preserve">Installer rapidement                       </t>
    </r>
    <r>
      <rPr>
        <sz val="11"/>
        <color rgb="FF92D050"/>
        <rFont val="Comic Sans MS"/>
        <family val="4"/>
      </rPr>
      <t>-de 2min</t>
    </r>
  </si>
  <si>
    <r>
      <t xml:space="preserve">Taille                                         </t>
    </r>
    <r>
      <rPr>
        <sz val="11"/>
        <color rgb="FF92D050"/>
        <rFont val="Comic Sans MS"/>
        <family val="4"/>
      </rPr>
      <t>192 x 192 x 14 mm</t>
    </r>
  </si>
  <si>
    <r>
      <t xml:space="preserve">Prix                                                   </t>
    </r>
    <r>
      <rPr>
        <sz val="11"/>
        <color rgb="FF92D050"/>
        <rFont val="Comic Sans MS"/>
        <family val="4"/>
      </rPr>
      <t>8,67€</t>
    </r>
  </si>
  <si>
    <r>
      <t xml:space="preserve">dimensions                                           </t>
    </r>
    <r>
      <rPr>
        <sz val="11"/>
        <color rgb="FF92D050"/>
        <rFont val="Comic Sans MS"/>
        <family val="4"/>
      </rPr>
      <t>130 x 35 mm                        de rayon</t>
    </r>
  </si>
  <si>
    <t>exemple de sites :</t>
  </si>
  <si>
    <t>www.gotronic.fr</t>
  </si>
  <si>
    <t>www.radiospares.fr</t>
  </si>
  <si>
    <t>www.farnell.fr</t>
  </si>
  <si>
    <t>Boitier plexi</t>
  </si>
  <si>
    <t>www.conrad.fr</t>
  </si>
  <si>
    <t>Boitier PLA</t>
  </si>
  <si>
    <r>
      <rPr>
        <b/>
        <sz val="11"/>
        <color theme="0"/>
        <rFont val="Comic Sans MS"/>
        <family val="4"/>
      </rPr>
      <t xml:space="preserve">Fonction 6 : </t>
    </r>
    <r>
      <rPr>
        <b/>
        <sz val="11"/>
        <color rgb="FF00B050"/>
        <rFont val="Comic Sans MS"/>
        <family val="4"/>
      </rPr>
      <t>Protéger le système des intempéries et autres éléments extérieurs</t>
    </r>
    <r>
      <rPr>
        <b/>
        <sz val="11"/>
        <color theme="0"/>
        <rFont val="Comic Sans MS"/>
        <family val="4"/>
      </rPr>
      <t xml:space="preserve"> 
</t>
    </r>
    <r>
      <rPr>
        <b/>
        <sz val="11"/>
        <color rgb="FFFF0000"/>
        <rFont val="Comic Sans MS"/>
        <family val="4"/>
      </rPr>
      <t>(Au moins 3 voies de solutions)</t>
    </r>
  </si>
  <si>
    <r>
      <rPr>
        <b/>
        <sz val="11"/>
        <color theme="0"/>
        <rFont val="Comic Sans MS"/>
        <family val="4"/>
      </rPr>
      <t xml:space="preserve">Fonction 5 : </t>
    </r>
    <r>
      <rPr>
        <b/>
        <sz val="11"/>
        <color rgb="FF00B050"/>
        <rFont val="Comic Sans MS"/>
        <family val="4"/>
      </rPr>
      <t xml:space="preserve">Etre autonome en énergie 
</t>
    </r>
    <r>
      <rPr>
        <b/>
        <sz val="11"/>
        <color rgb="FFFF0000"/>
        <rFont val="Comic Sans MS"/>
        <family val="4"/>
      </rPr>
      <t>(Au moins 3 voies de solutions)</t>
    </r>
  </si>
  <si>
    <r>
      <rPr>
        <b/>
        <sz val="11"/>
        <color theme="0"/>
        <rFont val="Comic Sans MS"/>
        <family val="4"/>
      </rPr>
      <t xml:space="preserve">Fonction 4 : </t>
    </r>
    <r>
      <rPr>
        <b/>
        <sz val="11"/>
        <color rgb="FF00B050"/>
        <rFont val="Comic Sans MS"/>
        <family val="4"/>
      </rPr>
      <t xml:space="preserve">Alerter de manière sonore l'utilisateur 
</t>
    </r>
    <r>
      <rPr>
        <b/>
        <sz val="11"/>
        <color rgb="FFFF0000"/>
        <rFont val="Comic Sans MS"/>
        <family val="4"/>
      </rPr>
      <t>(Au moins 3 voies de solutions)</t>
    </r>
  </si>
  <si>
    <r>
      <rPr>
        <b/>
        <sz val="11"/>
        <color theme="0"/>
        <rFont val="Comic Sans MS"/>
        <family val="4"/>
      </rPr>
      <t>Fonction 3 :</t>
    </r>
    <r>
      <rPr>
        <b/>
        <sz val="11"/>
        <color theme="1"/>
        <rFont val="Comic Sans MS"/>
        <family val="4"/>
      </rPr>
      <t xml:space="preserve"> </t>
    </r>
    <r>
      <rPr>
        <b/>
        <sz val="11"/>
        <color rgb="FF00B050"/>
        <rFont val="Comic Sans MS"/>
        <family val="4"/>
      </rPr>
      <t xml:space="preserve">Afficher la distance 
</t>
    </r>
    <r>
      <rPr>
        <b/>
        <sz val="11"/>
        <color rgb="FFFF0000"/>
        <rFont val="Comic Sans MS"/>
        <family val="4"/>
      </rPr>
      <t>(Au moins 3 voies de solutions)</t>
    </r>
  </si>
  <si>
    <r>
      <rPr>
        <b/>
        <sz val="11"/>
        <color theme="0"/>
        <rFont val="Comic Sans MS"/>
        <family val="4"/>
      </rPr>
      <t>Fonction 2 :</t>
    </r>
    <r>
      <rPr>
        <b/>
        <sz val="11"/>
        <color theme="1"/>
        <rFont val="Comic Sans MS"/>
        <family val="4"/>
      </rPr>
      <t xml:space="preserve">  </t>
    </r>
    <r>
      <rPr>
        <b/>
        <sz val="11"/>
        <color rgb="FF00B050"/>
        <rFont val="Comic Sans MS"/>
        <family val="4"/>
      </rPr>
      <t xml:space="preserve">Installer/retirer le système 
</t>
    </r>
    <r>
      <rPr>
        <b/>
        <sz val="11"/>
        <color rgb="FFFF0000"/>
        <rFont val="Comic Sans MS"/>
        <family val="4"/>
      </rPr>
      <t>(Au moins 3 voies de solutions)</t>
    </r>
  </si>
  <si>
    <r>
      <rPr>
        <b/>
        <sz val="11"/>
        <color theme="0"/>
        <rFont val="Comic Sans MS"/>
        <family val="4"/>
      </rPr>
      <t>Fonction 1 :</t>
    </r>
    <r>
      <rPr>
        <b/>
        <sz val="11"/>
        <color theme="1"/>
        <rFont val="Comic Sans MS"/>
        <family val="4"/>
      </rPr>
      <t xml:space="preserve"> </t>
    </r>
    <r>
      <rPr>
        <b/>
        <sz val="11"/>
        <color rgb="FF00B050"/>
        <rFont val="Comic Sans MS"/>
        <family val="4"/>
      </rPr>
      <t xml:space="preserve">Mesurer la distance 
</t>
    </r>
    <r>
      <rPr>
        <b/>
        <sz val="11"/>
        <color rgb="FFFF0000"/>
        <rFont val="Comic Sans MS"/>
        <family val="4"/>
      </rPr>
      <t>(Au moins 3 voies de solutions)</t>
    </r>
  </si>
  <si>
    <t>raspberry</t>
  </si>
  <si>
    <t>Atini 85</t>
  </si>
  <si>
    <r>
      <rPr>
        <b/>
        <sz val="11"/>
        <color theme="0"/>
        <rFont val="Comic Sans MS"/>
        <family val="4"/>
      </rPr>
      <t>Fonction 7 :</t>
    </r>
    <r>
      <rPr>
        <b/>
        <sz val="11"/>
        <color theme="1"/>
        <rFont val="Comic Sans MS"/>
        <family val="4"/>
      </rPr>
      <t xml:space="preserve"> </t>
    </r>
    <r>
      <rPr>
        <b/>
        <sz val="11"/>
        <color rgb="FF00B050"/>
        <rFont val="Comic Sans MS"/>
        <family val="4"/>
      </rPr>
      <t xml:space="preserve">Traiter les informations 
</t>
    </r>
    <r>
      <rPr>
        <b/>
        <sz val="11"/>
        <color rgb="FFFF0000"/>
        <rFont val="Comic Sans MS"/>
        <family val="4"/>
      </rPr>
      <t>(Au moins 3 voies de solutions)</t>
    </r>
  </si>
  <si>
    <t>micro controleur                     (ATmega328P)                
arduino UNO</t>
  </si>
  <si>
    <r>
      <rPr>
        <b/>
        <sz val="11"/>
        <color theme="0"/>
        <rFont val="Comic Sans MS"/>
        <family val="4"/>
      </rPr>
      <t>Fonction 8 :</t>
    </r>
    <r>
      <rPr>
        <b/>
        <sz val="11"/>
        <color theme="1"/>
        <rFont val="Comic Sans MS"/>
        <family val="4"/>
      </rPr>
      <t xml:space="preserve"> </t>
    </r>
    <r>
      <rPr>
        <b/>
        <sz val="11"/>
        <color rgb="FF00B050"/>
        <rFont val="Comic Sans MS"/>
        <family val="4"/>
      </rPr>
      <t xml:space="preserve">Avertir visuellement l'utilisateur de seuils de distances 
</t>
    </r>
    <r>
      <rPr>
        <b/>
        <sz val="11"/>
        <color rgb="FFFF0000"/>
        <rFont val="Comic Sans MS"/>
        <family val="4"/>
      </rPr>
      <t>(Au moins 3 voies de solutions)</t>
    </r>
  </si>
  <si>
    <t>Précision                                            0,025mm</t>
  </si>
  <si>
    <t>Conductivité thermique</t>
  </si>
  <si>
    <t xml:space="preserve">résister aux chocs                                                                                                                                      </t>
  </si>
  <si>
    <t>micro controleur                 
micro:bit                                   10X education edition</t>
  </si>
  <si>
    <r>
      <t xml:space="preserve">Prix                                         </t>
    </r>
    <r>
      <rPr>
        <sz val="11"/>
        <color rgb="FF92D050"/>
        <rFont val="Comic Sans MS"/>
        <family val="4"/>
      </rPr>
      <t xml:space="preserve">73,17 euros   </t>
    </r>
    <r>
      <rPr>
        <sz val="11"/>
        <color theme="0"/>
        <rFont val="Comic Sans MS"/>
        <family val="4"/>
      </rPr>
      <t xml:space="preserve">                      </t>
    </r>
  </si>
  <si>
    <r>
      <t xml:space="preserve">Prix                                            </t>
    </r>
    <r>
      <rPr>
        <sz val="11"/>
        <color rgb="FF92D050"/>
        <rFont val="Comic Sans MS"/>
        <family val="4"/>
      </rPr>
      <t xml:space="preserve">3,11 euros        </t>
    </r>
    <r>
      <rPr>
        <sz val="11"/>
        <color theme="0"/>
        <rFont val="Comic Sans MS"/>
        <family val="4"/>
      </rPr>
      <t xml:space="preserve">                        </t>
    </r>
  </si>
  <si>
    <r>
      <t xml:space="preserve">Prix                                                     </t>
    </r>
    <r>
      <rPr>
        <sz val="11"/>
        <color rgb="FF92D050"/>
        <rFont val="Comic Sans MS"/>
        <family val="4"/>
      </rPr>
      <t>15 euros</t>
    </r>
  </si>
  <si>
    <r>
      <t xml:space="preserve">mémoire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1 Ko</t>
    </r>
  </si>
  <si>
    <r>
      <t xml:space="preserve">Prix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(5,36 euros)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 euros</t>
    </r>
  </si>
  <si>
    <r>
      <t xml:space="preserve">Dimentions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(37.4 x 6.76 x 3.28mm)                                                                                                                                                                                                                                                                                                                                                                                                                                                         43 mm × 52 mm</t>
    </r>
  </si>
  <si>
    <r>
      <t xml:space="preserve">mémoire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x</t>
    </r>
  </si>
  <si>
    <r>
      <t xml:space="preserve">Prix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40 euros</t>
    </r>
  </si>
  <si>
    <r>
      <t xml:space="preserve">Dimentions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8.6cm x 5.4cm x 1.7cm</t>
    </r>
  </si>
  <si>
    <r>
      <t xml:space="preserve">mémoire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 xml:space="preserve">2Ko         </t>
    </r>
    <r>
      <rPr>
        <sz val="11"/>
        <color theme="0"/>
        <rFont val="Comic Sans MS"/>
        <family val="4"/>
      </rPr>
      <t xml:space="preserve">      </t>
    </r>
  </si>
  <si>
    <r>
      <t xml:space="preserve">Prix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24,99 euros</t>
    </r>
  </si>
  <si>
    <r>
      <t xml:space="preserve">Dimentions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40 x 50 mm</t>
    </r>
  </si>
  <si>
    <r>
      <t xml:space="preserve">mémoire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>512 o</t>
    </r>
  </si>
  <si>
    <r>
      <t xml:space="preserve">Prix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 xml:space="preserve">1,37 euros      </t>
    </r>
    <r>
      <rPr>
        <sz val="11"/>
        <color theme="0"/>
        <rFont val="Comic Sans MS"/>
        <family val="4"/>
      </rPr>
      <t xml:space="preserve">            </t>
    </r>
  </si>
  <si>
    <r>
      <t xml:space="preserve">Dimentions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92D050"/>
        <rFont val="Comic Sans MS"/>
        <family val="4"/>
      </rPr>
      <t xml:space="preserve">5.35 x 5.4 x 1.91mm    </t>
    </r>
    <r>
      <rPr>
        <sz val="11"/>
        <color theme="0"/>
        <rFont val="Comic Sans MS"/>
        <family val="4"/>
      </rPr>
      <t xml:space="preserve">                                            </t>
    </r>
  </si>
  <si>
    <r>
      <t xml:space="preserve">résister à la chaleur                </t>
    </r>
    <r>
      <rPr>
        <sz val="11"/>
        <color rgb="FF92D050"/>
        <rFont val="Comic Sans MS"/>
        <family val="4"/>
      </rPr>
      <t>327°c</t>
    </r>
  </si>
  <si>
    <r>
      <t xml:space="preserve">résister à l'eau                                </t>
    </r>
    <r>
      <rPr>
        <sz val="11"/>
        <color rgb="FF92D050"/>
        <rFont val="Comic Sans MS"/>
        <family val="4"/>
      </rPr>
      <t>(absorption d'eau sur 24h)                                0,01</t>
    </r>
  </si>
  <si>
    <r>
      <t xml:space="preserve">Conductivité thermique                           </t>
    </r>
    <r>
      <rPr>
        <sz val="11"/>
        <color rgb="FF92D050"/>
        <rFont val="Comic Sans MS"/>
        <family val="4"/>
      </rPr>
      <t>0,25 W·m-1·K-1</t>
    </r>
  </si>
  <si>
    <r>
      <t xml:space="preserve">durée de vie                                                     </t>
    </r>
    <r>
      <rPr>
        <sz val="11"/>
        <color rgb="FF92D050"/>
        <rFont val="Comic Sans MS"/>
        <family val="4"/>
      </rPr>
      <t xml:space="preserve">50 000 ans               </t>
    </r>
    <r>
      <rPr>
        <sz val="11"/>
        <color theme="0"/>
        <rFont val="Comic Sans MS"/>
        <family val="4"/>
      </rPr>
      <t xml:space="preserve">                </t>
    </r>
  </si>
  <si>
    <r>
      <t xml:space="preserve">résister à la chaleur                         </t>
    </r>
    <r>
      <rPr>
        <sz val="11"/>
        <color rgb="FF92D050"/>
        <rFont val="Comic Sans MS"/>
        <family val="4"/>
      </rPr>
      <t>120°c</t>
    </r>
  </si>
  <si>
    <r>
      <t xml:space="preserve">résister à l'eau                                      </t>
    </r>
    <r>
      <rPr>
        <sz val="11"/>
        <color rgb="FF92D050"/>
        <rFont val="Comic Sans MS"/>
        <family val="4"/>
      </rPr>
      <t>100%</t>
    </r>
  </si>
  <si>
    <r>
      <t xml:space="preserve">Conductivité thermique                                               </t>
    </r>
    <r>
      <rPr>
        <sz val="11"/>
        <color rgb="FF92D050"/>
        <rFont val="Comic Sans MS"/>
        <family val="4"/>
      </rPr>
      <t>0,2 W. m-1.K -1</t>
    </r>
  </si>
  <si>
    <r>
      <t xml:space="preserve">fixation supportant les vibrations                                                 </t>
    </r>
    <r>
      <rPr>
        <sz val="11"/>
        <color rgb="FF92D050"/>
        <rFont val="Comic Sans MS"/>
        <family val="4"/>
      </rPr>
      <t xml:space="preserve">( 100%  -&gt; 500 N )    </t>
    </r>
    <r>
      <rPr>
        <sz val="11"/>
        <color theme="0"/>
        <rFont val="Comic Sans MS"/>
        <family val="4"/>
      </rPr>
      <t xml:space="preserve">                          </t>
    </r>
    <r>
      <rPr>
        <sz val="11"/>
        <color rgb="FF92D050"/>
        <rFont val="Comic Sans MS"/>
        <family val="4"/>
      </rPr>
      <t>70%</t>
    </r>
  </si>
  <si>
    <r>
      <t xml:space="preserve">fixation supportant les vibrations                                                </t>
    </r>
    <r>
      <rPr>
        <sz val="11"/>
        <color rgb="FF92D050"/>
        <rFont val="Comic Sans MS"/>
        <family val="4"/>
      </rPr>
      <t xml:space="preserve">( 100%  -&gt; 500 N )  </t>
    </r>
    <r>
      <rPr>
        <sz val="11"/>
        <color theme="0"/>
        <rFont val="Comic Sans MS"/>
        <family val="4"/>
      </rPr>
      <t xml:space="preserve">                                                </t>
    </r>
    <r>
      <rPr>
        <sz val="11"/>
        <color rgb="FF92D050"/>
        <rFont val="Comic Sans MS"/>
        <family val="4"/>
      </rPr>
      <t>100%</t>
    </r>
  </si>
  <si>
    <r>
      <t xml:space="preserve">fixation supportant les vibrations                                                    </t>
    </r>
    <r>
      <rPr>
        <sz val="11"/>
        <color rgb="FF92D050"/>
        <rFont val="Comic Sans MS"/>
        <family val="4"/>
      </rPr>
      <t xml:space="preserve">( 100%  -&gt; 500 N )   </t>
    </r>
    <r>
      <rPr>
        <sz val="11"/>
        <color theme="0"/>
        <rFont val="Comic Sans MS"/>
        <family val="4"/>
      </rPr>
      <t xml:space="preserve">                                      </t>
    </r>
    <r>
      <rPr>
        <sz val="11"/>
        <color rgb="FF92D050"/>
        <rFont val="Comic Sans MS"/>
        <family val="4"/>
      </rPr>
      <t>100%</t>
    </r>
  </si>
  <si>
    <r>
      <t xml:space="preserve">fixation supportant les vibrations                                                    </t>
    </r>
    <r>
      <rPr>
        <sz val="11"/>
        <color rgb="FF92D050"/>
        <rFont val="Comic Sans MS"/>
        <family val="4"/>
      </rPr>
      <t xml:space="preserve">( 100%  -&gt; 500 N )  </t>
    </r>
    <r>
      <rPr>
        <sz val="11"/>
        <color theme="0"/>
        <rFont val="Comic Sans MS"/>
        <family val="4"/>
      </rPr>
      <t xml:space="preserve">                             </t>
    </r>
    <r>
      <rPr>
        <sz val="11"/>
        <color rgb="FF92D050"/>
        <rFont val="Comic Sans MS"/>
        <family val="4"/>
      </rPr>
      <t>65%</t>
    </r>
  </si>
  <si>
    <r>
      <t xml:space="preserve">Résolution                                                                     </t>
    </r>
    <r>
      <rPr>
        <sz val="11"/>
        <color rgb="FF92D050"/>
        <rFont val="Comic Sans MS"/>
        <family val="4"/>
      </rPr>
      <t xml:space="preserve">16×2 charactères                     8×5  px/charactère                                               </t>
    </r>
  </si>
  <si>
    <r>
      <t xml:space="preserve">Résolution                                                          </t>
    </r>
    <r>
      <rPr>
        <sz val="11"/>
        <color rgb="FF92D050"/>
        <rFont val="Comic Sans MS"/>
        <family val="4"/>
      </rPr>
      <t>64×64</t>
    </r>
  </si>
  <si>
    <r>
      <t xml:space="preserve">résister à la chaleur                                                 </t>
    </r>
    <r>
      <rPr>
        <sz val="11"/>
        <color rgb="FF92D050"/>
        <rFont val="Comic Sans MS"/>
        <family val="4"/>
      </rPr>
      <t>98°c</t>
    </r>
  </si>
  <si>
    <r>
      <t xml:space="preserve">résister à la chaleur                                   </t>
    </r>
    <r>
      <rPr>
        <sz val="11"/>
        <color rgb="FF92D050"/>
        <rFont val="Comic Sans MS"/>
        <family val="4"/>
      </rPr>
      <t>50°c</t>
    </r>
  </si>
  <si>
    <r>
      <t xml:space="preserve">résister à la chaleur                                             </t>
    </r>
    <r>
      <rPr>
        <sz val="11"/>
        <color rgb="FF92D050"/>
        <rFont val="Comic Sans MS"/>
        <family val="4"/>
      </rPr>
      <t>160°c</t>
    </r>
  </si>
  <si>
    <r>
      <t xml:space="preserve">résister aux chocs                                                  </t>
    </r>
    <r>
      <rPr>
        <sz val="11"/>
        <color rgb="FF92D050"/>
        <rFont val="Comic Sans MS"/>
        <family val="4"/>
      </rPr>
      <t>(dureté)                                                                 50-65</t>
    </r>
  </si>
  <si>
    <t>LED</t>
  </si>
  <si>
    <t>laser pointeur</t>
  </si>
  <si>
    <t>ampoule incandescente</t>
  </si>
  <si>
    <r>
      <rPr>
        <b/>
        <sz val="11"/>
        <color theme="0"/>
        <rFont val="Comic Sans MS"/>
        <family val="4"/>
      </rPr>
      <t>Fonction 9 :</t>
    </r>
    <r>
      <rPr>
        <b/>
        <sz val="11"/>
        <color theme="1"/>
        <rFont val="Comic Sans MS"/>
        <family val="4"/>
      </rPr>
      <t xml:space="preserve"> </t>
    </r>
    <r>
      <rPr>
        <b/>
        <sz val="11"/>
        <color rgb="FF00B050"/>
        <rFont val="Comic Sans MS"/>
        <family val="4"/>
      </rPr>
      <t xml:space="preserve">communiquer sans fil 
</t>
    </r>
    <r>
      <rPr>
        <b/>
        <sz val="11"/>
        <color rgb="FFFF0000"/>
        <rFont val="Comic Sans MS"/>
        <family val="4"/>
      </rPr>
      <t>(Au moins 3 voies de solutions)</t>
    </r>
  </si>
  <si>
    <t>module bluetooth</t>
  </si>
  <si>
    <t>rooter wifi</t>
  </si>
  <si>
    <t>portée                                                60m</t>
  </si>
  <si>
    <t>fréquence                                                     2 400 et 2 483,5 MHz</t>
  </si>
  <si>
    <t>portée                                                             250m</t>
  </si>
  <si>
    <t>fréquence                                                   2,45 GHz et 5 GHz</t>
  </si>
  <si>
    <t>émeteur-récepteur radio</t>
  </si>
  <si>
    <t>prix                                                                      8,10 euros</t>
  </si>
  <si>
    <t>portée                                                             30m</t>
  </si>
  <si>
    <t>fréquence                                                   433 Mhz</t>
  </si>
  <si>
    <t>prix                                                                      6,50 euros</t>
  </si>
  <si>
    <t>prix                                                                 5 euros</t>
  </si>
  <si>
    <t>durée de vie(480000minute)</t>
  </si>
  <si>
    <t>luminosité</t>
  </si>
  <si>
    <t>puissance du son                         (80 dB)</t>
  </si>
  <si>
    <t>puissance du son                                             (0 à 100 dB)</t>
  </si>
  <si>
    <t>puissance du son                               (90d)</t>
  </si>
  <si>
    <t>intensité lumineuse                                                 (2 à 12 mcd)</t>
  </si>
  <si>
    <t>prix                                                                                                             ( 3,64 euros)</t>
  </si>
  <si>
    <t>durée de vie                                                                                                         (18000heures)</t>
  </si>
  <si>
    <t>luminosité                                                                                                         (250 lumens)</t>
  </si>
  <si>
    <t>intensité lumineuse                                                                                                         (10mW)</t>
  </si>
  <si>
    <t>prix                                                                                                         (15euros)</t>
  </si>
  <si>
    <t>intensité lumineuse                                                                                                         (1,5 à 2,5 candela)</t>
  </si>
  <si>
    <t>prix                                                                                                         ( 0,71)</t>
  </si>
  <si>
    <t>durée de vie                                                                                                         (60000minute)</t>
  </si>
  <si>
    <r>
      <t xml:space="preserve">Luminosité                              </t>
    </r>
    <r>
      <rPr>
        <sz val="11"/>
        <color rgb="FF92D050"/>
        <rFont val="Comic Sans MS"/>
        <family val="4"/>
      </rPr>
      <t>entre 450                                            et 550 nits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</si>
</sst>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mic Sans MS"/>
      <family val="4"/>
    </font>
    <font>
      <b/>
      <sz val="11"/>
      <color theme="1"/>
      <name val="Comic Sans MS"/>
      <family val="4"/>
    </font>
    <font>
      <b/>
      <sz val="11"/>
      <color rgb="FF00B050"/>
      <name val="Comic Sans MS"/>
      <family val="4"/>
    </font>
    <font>
      <b/>
      <sz val="11"/>
      <color rgb="FFFF0000"/>
      <name val="Comic Sans MS"/>
      <family val="4"/>
    </font>
    <font>
      <sz val="11"/>
      <color theme="0"/>
      <name val="Comic Sans MS"/>
      <family val="4"/>
    </font>
    <font>
      <sz val="11"/>
      <color rgb="FF92D050"/>
      <name val="Comic Sans MS"/>
      <family val="4"/>
    </font>
    <font>
      <strike/>
      <sz val="11"/>
      <color theme="0"/>
      <name val="Comic Sans MS"/>
      <family val="4"/>
    </font>
    <font>
      <b/>
      <sz val="11"/>
      <color rgb="FF92D050"/>
      <name val="Comic Sans MS"/>
      <family val="4"/>
    </font>
    <font>
      <b/>
      <sz val="12"/>
      <color theme="0"/>
      <name val="Comic Sans MS"/>
      <family val="4"/>
    </font>
    <font>
      <sz val="11"/>
      <color theme="1"/>
      <name val="Comic Sans MS"/>
      <family val="4"/>
    </font>
    <font>
      <sz val="72"/>
      <color theme="1"/>
      <name val="Comic Sans MS"/>
      <family val="4"/>
    </font>
    <font>
      <u/>
      <sz val="11"/>
      <color theme="1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rgb="FF25252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3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38" fontId="2" fillId="2" borderId="3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38" fontId="2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38" fontId="2" fillId="2" borderId="8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8" fontId="2" fillId="2" borderId="12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40"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44848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44848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  <dxf>
      <fill>
        <patternFill>
          <bgColor rgb="FF82524A"/>
        </patternFill>
      </fill>
    </dxf>
    <dxf>
      <fill>
        <patternFill>
          <bgColor rgb="FF576547"/>
        </patternFill>
      </fill>
    </dxf>
  </dxfs>
  <tableStyles count="0" defaultTableStyle="TableStyleMedium2" defaultPivotStyle="PivotStyleLight16"/>
  <colors>
    <mruColors>
      <color rgb="FF844848"/>
      <color rgb="FF252525"/>
      <color rgb="FF576547"/>
      <color rgb="FF92A37D"/>
      <color rgb="FF82524A"/>
      <color rgb="FF4D7620"/>
      <color rgb="FF7B2D2D"/>
      <color rgb="FFDB847B"/>
      <color rgb="FFD3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rnell.fr/" TargetMode="External"/><Relationship Id="rId2" Type="http://schemas.openxmlformats.org/officeDocument/2006/relationships/hyperlink" Target="http://www.radiospares.fr/" TargetMode="External"/><Relationship Id="rId1" Type="http://schemas.openxmlformats.org/officeDocument/2006/relationships/hyperlink" Target="http://www.gotronic.f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conrad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09"/>
  <sheetViews>
    <sheetView tabSelected="1" topLeftCell="Y1" zoomScale="70" zoomScaleNormal="70" workbookViewId="0">
      <selection activeCell="AJ12" sqref="AJ12:AJ15"/>
    </sheetView>
  </sheetViews>
  <sheetFormatPr baseColWidth="10" defaultColWidth="11.42578125" defaultRowHeight="15" x14ac:dyDescent="0.25"/>
  <cols>
    <col min="1" max="1" width="19.85546875" style="1" customWidth="1"/>
    <col min="2" max="2" width="24" style="1" customWidth="1"/>
    <col min="3" max="3" width="23.140625" style="1" customWidth="1"/>
    <col min="4" max="4" width="10.7109375" style="1" customWidth="1"/>
    <col min="5" max="5" width="23" style="2" customWidth="1"/>
    <col min="6" max="6" width="22.7109375" style="2" customWidth="1"/>
    <col min="7" max="7" width="23.140625" style="2" customWidth="1"/>
    <col min="8" max="8" width="13.140625" style="2" customWidth="1"/>
    <col min="9" max="9" width="22.7109375" style="1" customWidth="1"/>
    <col min="10" max="10" width="23.140625" style="1" customWidth="1"/>
    <col min="11" max="11" width="22.7109375" style="1" customWidth="1"/>
    <col min="12" max="12" width="8.85546875" style="1" customWidth="1"/>
    <col min="13" max="14" width="22.5703125" style="1" customWidth="1"/>
    <col min="15" max="15" width="18.85546875" style="1" customWidth="1"/>
    <col min="16" max="16" width="11.85546875" style="1" customWidth="1"/>
    <col min="17" max="17" width="25.85546875" style="1" customWidth="1"/>
    <col min="18" max="18" width="20.7109375" style="1" customWidth="1"/>
    <col min="19" max="19" width="21.85546875" style="1" customWidth="1"/>
    <col min="20" max="20" width="14.42578125" style="1" customWidth="1"/>
    <col min="21" max="21" width="24.140625" style="1" customWidth="1"/>
    <col min="22" max="22" width="29" style="1" customWidth="1"/>
    <col min="23" max="23" width="24.42578125" style="1" customWidth="1"/>
    <col min="24" max="24" width="19.140625" style="1" customWidth="1"/>
    <col min="25" max="25" width="30.5703125" style="1" customWidth="1"/>
    <col min="26" max="26" width="29.42578125" style="1" customWidth="1"/>
    <col min="27" max="27" width="23.85546875" style="1" customWidth="1"/>
    <col min="28" max="28" width="19.28515625" style="1" customWidth="1"/>
    <col min="29" max="29" width="23.28515625" style="1" customWidth="1"/>
    <col min="30" max="30" width="29.42578125" style="1" customWidth="1"/>
    <col min="31" max="31" width="20.28515625" style="1" customWidth="1"/>
    <col min="32" max="32" width="22.28515625" style="1" customWidth="1"/>
    <col min="33" max="33" width="23.28515625" style="1" customWidth="1"/>
    <col min="34" max="34" width="29.42578125" style="1" customWidth="1"/>
    <col min="35" max="35" width="20.28515625" style="1" customWidth="1"/>
    <col min="36" max="36" width="22.28515625" style="1" customWidth="1"/>
    <col min="37" max="39" width="11.42578125" style="1"/>
    <col min="40" max="40" width="23.5703125" style="1" customWidth="1"/>
    <col min="41" max="16384" width="11.42578125" style="1"/>
  </cols>
  <sheetData>
    <row r="1" spans="1:77" ht="36" customHeight="1" thickBo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35"/>
      <c r="AK1" s="36"/>
      <c r="AL1" s="3"/>
      <c r="AM1" s="3"/>
      <c r="AN1" s="3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</row>
    <row r="2" spans="1:77" ht="48" customHeight="1" thickTop="1" x14ac:dyDescent="0.25">
      <c r="A2" s="26" t="s">
        <v>91</v>
      </c>
      <c r="B2" s="27"/>
      <c r="C2" s="27"/>
      <c r="D2" s="28"/>
      <c r="E2" s="26" t="s">
        <v>90</v>
      </c>
      <c r="F2" s="27"/>
      <c r="G2" s="27"/>
      <c r="H2" s="28"/>
      <c r="I2" s="26" t="s">
        <v>89</v>
      </c>
      <c r="J2" s="27"/>
      <c r="K2" s="27"/>
      <c r="L2" s="28"/>
      <c r="M2" s="26" t="s">
        <v>88</v>
      </c>
      <c r="N2" s="27"/>
      <c r="O2" s="27"/>
      <c r="P2" s="29"/>
      <c r="Q2" s="26" t="s">
        <v>87</v>
      </c>
      <c r="R2" s="27"/>
      <c r="S2" s="27"/>
      <c r="T2" s="29"/>
      <c r="U2" s="26" t="s">
        <v>86</v>
      </c>
      <c r="V2" s="27"/>
      <c r="W2" s="27"/>
      <c r="X2" s="28"/>
      <c r="Y2" s="26" t="s">
        <v>94</v>
      </c>
      <c r="Z2" s="27"/>
      <c r="AA2" s="27"/>
      <c r="AB2" s="28"/>
      <c r="AC2" s="26" t="s">
        <v>96</v>
      </c>
      <c r="AD2" s="27"/>
      <c r="AE2" s="27"/>
      <c r="AF2" s="28"/>
      <c r="AG2" s="26" t="s">
        <v>136</v>
      </c>
      <c r="AH2" s="27"/>
      <c r="AI2" s="27"/>
      <c r="AJ2" s="28"/>
      <c r="AK2" s="3"/>
      <c r="AL2" s="3"/>
      <c r="AM2" s="3"/>
      <c r="AN2" s="3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</row>
    <row r="3" spans="1:77" ht="43.5" customHeight="1" x14ac:dyDescent="0.25">
      <c r="A3" s="30" t="s">
        <v>1</v>
      </c>
      <c r="B3" s="21" t="s">
        <v>2</v>
      </c>
      <c r="C3" s="21" t="s">
        <v>3</v>
      </c>
      <c r="D3" s="31" t="s">
        <v>4</v>
      </c>
      <c r="E3" s="30" t="s">
        <v>1</v>
      </c>
      <c r="F3" s="21" t="s">
        <v>2</v>
      </c>
      <c r="G3" s="21" t="s">
        <v>3</v>
      </c>
      <c r="H3" s="31" t="s">
        <v>4</v>
      </c>
      <c r="I3" s="32" t="s">
        <v>1</v>
      </c>
      <c r="J3" s="22" t="s">
        <v>2</v>
      </c>
      <c r="K3" s="22" t="s">
        <v>3</v>
      </c>
      <c r="L3" s="33" t="s">
        <v>4</v>
      </c>
      <c r="M3" s="32" t="s">
        <v>1</v>
      </c>
      <c r="N3" s="22" t="s">
        <v>2</v>
      </c>
      <c r="O3" s="22" t="s">
        <v>3</v>
      </c>
      <c r="P3" s="23" t="s">
        <v>4</v>
      </c>
      <c r="Q3" s="32" t="s">
        <v>1</v>
      </c>
      <c r="R3" s="22" t="s">
        <v>2</v>
      </c>
      <c r="S3" s="22" t="s">
        <v>3</v>
      </c>
      <c r="T3" s="23" t="s">
        <v>4</v>
      </c>
      <c r="U3" s="32" t="s">
        <v>1</v>
      </c>
      <c r="V3" s="22" t="s">
        <v>2</v>
      </c>
      <c r="W3" s="22" t="s">
        <v>3</v>
      </c>
      <c r="X3" s="33" t="s">
        <v>4</v>
      </c>
      <c r="Y3" s="32" t="s">
        <v>1</v>
      </c>
      <c r="Z3" s="22" t="s">
        <v>2</v>
      </c>
      <c r="AA3" s="22" t="s">
        <v>3</v>
      </c>
      <c r="AB3" s="33" t="s">
        <v>4</v>
      </c>
      <c r="AC3" s="32" t="s">
        <v>1</v>
      </c>
      <c r="AD3" s="22" t="s">
        <v>2</v>
      </c>
      <c r="AE3" s="22" t="s">
        <v>3</v>
      </c>
      <c r="AF3" s="33" t="s">
        <v>4</v>
      </c>
      <c r="AG3" s="32" t="s">
        <v>1</v>
      </c>
      <c r="AH3" s="22" t="s">
        <v>2</v>
      </c>
      <c r="AI3" s="22" t="s">
        <v>3</v>
      </c>
      <c r="AJ3" s="33" t="s">
        <v>4</v>
      </c>
      <c r="AK3" s="3"/>
      <c r="AL3" s="3"/>
      <c r="AM3" s="3"/>
      <c r="AN3" s="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</row>
    <row r="4" spans="1:77" ht="66.75" customHeight="1" x14ac:dyDescent="0.25">
      <c r="A4" s="15" t="s">
        <v>5</v>
      </c>
      <c r="B4" s="5" t="s">
        <v>6</v>
      </c>
      <c r="C4" s="5">
        <v>5</v>
      </c>
      <c r="D4" s="17">
        <f>SUM(C4:C7)</f>
        <v>17</v>
      </c>
      <c r="E4" s="15" t="s">
        <v>7</v>
      </c>
      <c r="F4" s="5" t="s">
        <v>8</v>
      </c>
      <c r="G4" s="5">
        <v>1</v>
      </c>
      <c r="H4" s="17">
        <f>SUM(G4:G7)</f>
        <v>9</v>
      </c>
      <c r="I4" s="16" t="s">
        <v>9</v>
      </c>
      <c r="J4" s="5" t="s">
        <v>127</v>
      </c>
      <c r="K4" s="5">
        <v>5</v>
      </c>
      <c r="L4" s="17">
        <f>SUM(K4:K7)</f>
        <v>15</v>
      </c>
      <c r="M4" s="16" t="s">
        <v>10</v>
      </c>
      <c r="N4" s="5" t="s">
        <v>151</v>
      </c>
      <c r="O4" s="5">
        <v>3</v>
      </c>
      <c r="P4" s="24">
        <f>SUM(O4:O7)</f>
        <v>3</v>
      </c>
      <c r="Q4" s="15" t="s">
        <v>11</v>
      </c>
      <c r="R4" s="5" t="s">
        <v>12</v>
      </c>
      <c r="S4" s="6">
        <v>5</v>
      </c>
      <c r="T4" s="24">
        <f>SUM(S4:S7)</f>
        <v>10</v>
      </c>
      <c r="U4" s="16" t="s">
        <v>13</v>
      </c>
      <c r="V4" s="5" t="s">
        <v>116</v>
      </c>
      <c r="W4" s="5">
        <v>5</v>
      </c>
      <c r="X4" s="17">
        <f>SUM(W4:W8)</f>
        <v>25</v>
      </c>
      <c r="Y4" s="15" t="s">
        <v>95</v>
      </c>
      <c r="Z4" s="5" t="s">
        <v>104</v>
      </c>
      <c r="AA4" s="5">
        <v>5</v>
      </c>
      <c r="AB4" s="17">
        <f>SUM(AA4:AA7)</f>
        <v>14</v>
      </c>
      <c r="AC4" s="15" t="s">
        <v>133</v>
      </c>
      <c r="AD4" s="5" t="s">
        <v>154</v>
      </c>
      <c r="AE4" s="5">
        <v>5</v>
      </c>
      <c r="AF4" s="17">
        <f>SUM(AE4:AE7)</f>
        <v>15</v>
      </c>
      <c r="AG4" s="15" t="s">
        <v>137</v>
      </c>
      <c r="AH4" s="5" t="s">
        <v>139</v>
      </c>
      <c r="AI4" s="5">
        <v>5</v>
      </c>
      <c r="AJ4" s="17">
        <f>SUM(AI4:AI7)</f>
        <v>10</v>
      </c>
      <c r="AK4" s="3"/>
      <c r="AL4" s="3"/>
      <c r="AM4" s="3"/>
      <c r="AN4" s="3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</row>
    <row r="5" spans="1:77" ht="62.25" customHeight="1" x14ac:dyDescent="0.25">
      <c r="A5" s="15"/>
      <c r="B5" s="5" t="s">
        <v>14</v>
      </c>
      <c r="C5" s="5">
        <v>5</v>
      </c>
      <c r="D5" s="17"/>
      <c r="E5" s="15"/>
      <c r="F5" s="5" t="s">
        <v>123</v>
      </c>
      <c r="G5" s="5">
        <v>3</v>
      </c>
      <c r="H5" s="17"/>
      <c r="I5" s="16"/>
      <c r="J5" s="5" t="s">
        <v>163</v>
      </c>
      <c r="K5" s="5">
        <v>5</v>
      </c>
      <c r="L5" s="17"/>
      <c r="M5" s="16"/>
      <c r="N5" s="5" t="s">
        <v>15</v>
      </c>
      <c r="O5" s="5"/>
      <c r="P5" s="24"/>
      <c r="Q5" s="15"/>
      <c r="R5" s="5" t="s">
        <v>16</v>
      </c>
      <c r="S5" s="6">
        <v>5</v>
      </c>
      <c r="T5" s="24"/>
      <c r="U5" s="16"/>
      <c r="V5" s="5" t="s">
        <v>117</v>
      </c>
      <c r="W5" s="5">
        <v>5</v>
      </c>
      <c r="X5" s="17"/>
      <c r="Y5" s="16"/>
      <c r="Z5" s="5" t="s">
        <v>105</v>
      </c>
      <c r="AA5" s="5">
        <v>4</v>
      </c>
      <c r="AB5" s="17"/>
      <c r="AC5" s="16"/>
      <c r="AD5" s="5" t="s">
        <v>155</v>
      </c>
      <c r="AE5" s="5">
        <v>5</v>
      </c>
      <c r="AF5" s="17"/>
      <c r="AG5" s="16"/>
      <c r="AH5" s="5" t="s">
        <v>140</v>
      </c>
      <c r="AI5" s="5"/>
      <c r="AJ5" s="17"/>
      <c r="AK5" s="3"/>
      <c r="AL5" s="3"/>
      <c r="AM5" s="3"/>
      <c r="AN5" s="3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</row>
    <row r="6" spans="1:77" ht="58.5" customHeight="1" x14ac:dyDescent="0.25">
      <c r="A6" s="15"/>
      <c r="B6" s="5" t="s">
        <v>17</v>
      </c>
      <c r="C6" s="5">
        <v>5</v>
      </c>
      <c r="D6" s="17"/>
      <c r="E6" s="15"/>
      <c r="F6" s="5" t="s">
        <v>18</v>
      </c>
      <c r="G6" s="5">
        <v>5</v>
      </c>
      <c r="H6" s="17"/>
      <c r="I6" s="16"/>
      <c r="J6" s="5" t="s">
        <v>19</v>
      </c>
      <c r="K6" s="5">
        <v>5</v>
      </c>
      <c r="L6" s="17"/>
      <c r="M6" s="16"/>
      <c r="N6" s="5" t="s">
        <v>20</v>
      </c>
      <c r="O6" s="5"/>
      <c r="P6" s="24"/>
      <c r="Q6" s="15"/>
      <c r="R6" s="5" t="s">
        <v>101</v>
      </c>
      <c r="S6" s="6">
        <v>0</v>
      </c>
      <c r="T6" s="24"/>
      <c r="U6" s="16"/>
      <c r="V6" s="5" t="s">
        <v>132</v>
      </c>
      <c r="W6" s="5">
        <v>5</v>
      </c>
      <c r="X6" s="17"/>
      <c r="Y6" s="16"/>
      <c r="Z6" s="5" t="s">
        <v>106</v>
      </c>
      <c r="AA6" s="5">
        <v>5</v>
      </c>
      <c r="AB6" s="17"/>
      <c r="AC6" s="16"/>
      <c r="AD6" s="5" t="s">
        <v>156</v>
      </c>
      <c r="AE6" s="5">
        <v>5</v>
      </c>
      <c r="AF6" s="17"/>
      <c r="AG6" s="16"/>
      <c r="AH6" s="5" t="s">
        <v>148</v>
      </c>
      <c r="AI6" s="5">
        <v>5</v>
      </c>
      <c r="AJ6" s="17"/>
      <c r="AK6" s="3"/>
      <c r="AL6" s="3"/>
      <c r="AM6" s="3"/>
      <c r="AN6" s="3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</row>
    <row r="7" spans="1:77" ht="50.25" customHeight="1" x14ac:dyDescent="0.25">
      <c r="A7" s="15"/>
      <c r="B7" s="5" t="s">
        <v>21</v>
      </c>
      <c r="C7" s="5">
        <v>2</v>
      </c>
      <c r="D7" s="17"/>
      <c r="E7" s="15"/>
      <c r="F7" s="5" t="s">
        <v>22</v>
      </c>
      <c r="G7" s="5">
        <v>0</v>
      </c>
      <c r="H7" s="17"/>
      <c r="I7" s="16"/>
      <c r="J7" s="5" t="s">
        <v>23</v>
      </c>
      <c r="K7" s="5" t="s">
        <v>23</v>
      </c>
      <c r="L7" s="17"/>
      <c r="M7" s="16"/>
      <c r="N7" s="5" t="s">
        <v>23</v>
      </c>
      <c r="O7" s="5" t="s">
        <v>23</v>
      </c>
      <c r="P7" s="24"/>
      <c r="Q7" s="15"/>
      <c r="R7" s="5" t="s">
        <v>24</v>
      </c>
      <c r="S7" s="6">
        <v>0</v>
      </c>
      <c r="T7" s="24"/>
      <c r="U7" s="16"/>
      <c r="V7" s="5" t="s">
        <v>118</v>
      </c>
      <c r="W7" s="5">
        <v>5</v>
      </c>
      <c r="X7" s="17"/>
      <c r="Y7" s="16"/>
      <c r="Z7" s="5" t="s">
        <v>23</v>
      </c>
      <c r="AA7" s="5" t="s">
        <v>23</v>
      </c>
      <c r="AB7" s="17"/>
      <c r="AC7" s="16"/>
      <c r="AD7" s="5" t="s">
        <v>157</v>
      </c>
      <c r="AE7" s="5"/>
      <c r="AF7" s="17"/>
      <c r="AG7" s="16"/>
      <c r="AH7" s="5" t="s">
        <v>23</v>
      </c>
      <c r="AI7" s="5" t="s">
        <v>23</v>
      </c>
      <c r="AJ7" s="17"/>
      <c r="AK7" s="3"/>
      <c r="AL7" s="3"/>
      <c r="AM7" s="3"/>
      <c r="AN7" s="3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</row>
    <row r="8" spans="1:77" ht="36" customHeight="1" x14ac:dyDescent="0.25">
      <c r="A8" s="15" t="s">
        <v>25</v>
      </c>
      <c r="B8" s="5" t="s">
        <v>26</v>
      </c>
      <c r="C8" s="5">
        <v>4</v>
      </c>
      <c r="D8" s="17">
        <f>SUM(C8:C11)</f>
        <v>14</v>
      </c>
      <c r="E8" s="15" t="s">
        <v>27</v>
      </c>
      <c r="F8" s="5" t="s">
        <v>28</v>
      </c>
      <c r="G8" s="5">
        <v>3</v>
      </c>
      <c r="H8" s="17">
        <f>SUM(G8:G11)</f>
        <v>11</v>
      </c>
      <c r="I8" s="16" t="s">
        <v>29</v>
      </c>
      <c r="J8" s="5" t="s">
        <v>30</v>
      </c>
      <c r="K8" s="5">
        <v>5</v>
      </c>
      <c r="L8" s="17">
        <f>SUM(K8:K11)</f>
        <v>14</v>
      </c>
      <c r="M8" s="16" t="s">
        <v>31</v>
      </c>
      <c r="N8" s="5" t="s">
        <v>152</v>
      </c>
      <c r="O8" s="5">
        <v>5</v>
      </c>
      <c r="P8" s="24">
        <f>SUM(O8:O11)</f>
        <v>5</v>
      </c>
      <c r="Q8" s="15" t="s">
        <v>32</v>
      </c>
      <c r="R8" s="5" t="s">
        <v>33</v>
      </c>
      <c r="S8" s="6">
        <v>5</v>
      </c>
      <c r="T8" s="24">
        <f>SUM(S8:S11)</f>
        <v>18</v>
      </c>
      <c r="U8" s="16"/>
      <c r="V8" s="5" t="s">
        <v>119</v>
      </c>
      <c r="W8" s="5">
        <v>5</v>
      </c>
      <c r="X8" s="17"/>
      <c r="Y8" s="15" t="s">
        <v>92</v>
      </c>
      <c r="Z8" s="5" t="s">
        <v>107</v>
      </c>
      <c r="AA8" s="5">
        <v>5</v>
      </c>
      <c r="AB8" s="17">
        <f>SUM(AA8:AA11)</f>
        <v>10</v>
      </c>
      <c r="AC8" s="15" t="s">
        <v>134</v>
      </c>
      <c r="AD8" s="5" t="s">
        <v>158</v>
      </c>
      <c r="AE8" s="5">
        <v>3</v>
      </c>
      <c r="AF8" s="17">
        <f>SUM(AE8:AE11)</f>
        <v>9</v>
      </c>
      <c r="AG8" s="15" t="s">
        <v>138</v>
      </c>
      <c r="AH8" s="5" t="s">
        <v>141</v>
      </c>
      <c r="AI8" s="5">
        <v>5</v>
      </c>
      <c r="AJ8" s="17">
        <f>SUM(AI8:AI11)</f>
        <v>8</v>
      </c>
      <c r="AK8" s="3"/>
      <c r="AL8" s="3"/>
      <c r="AM8" s="3"/>
      <c r="AN8" s="3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</row>
    <row r="9" spans="1:77" ht="66" x14ac:dyDescent="0.25">
      <c r="A9" s="15"/>
      <c r="B9" s="5" t="s">
        <v>35</v>
      </c>
      <c r="C9" s="5">
        <v>0</v>
      </c>
      <c r="D9" s="17"/>
      <c r="E9" s="15"/>
      <c r="F9" s="5" t="s">
        <v>124</v>
      </c>
      <c r="G9" s="5">
        <v>5</v>
      </c>
      <c r="H9" s="17"/>
      <c r="I9" s="16"/>
      <c r="J9" s="5" t="s">
        <v>36</v>
      </c>
      <c r="K9" s="5">
        <v>4</v>
      </c>
      <c r="L9" s="17"/>
      <c r="M9" s="16"/>
      <c r="N9" s="5" t="s">
        <v>15</v>
      </c>
      <c r="O9" s="5"/>
      <c r="P9" s="24"/>
      <c r="Q9" s="15"/>
      <c r="R9" s="5" t="s">
        <v>37</v>
      </c>
      <c r="S9" s="6">
        <v>5</v>
      </c>
      <c r="T9" s="24"/>
      <c r="U9" s="16" t="s">
        <v>38</v>
      </c>
      <c r="V9" s="5" t="s">
        <v>120</v>
      </c>
      <c r="W9" s="5">
        <v>5</v>
      </c>
      <c r="X9" s="17">
        <f>SUM(W9:W13)</f>
        <v>10</v>
      </c>
      <c r="Y9" s="16"/>
      <c r="Z9" s="5" t="s">
        <v>108</v>
      </c>
      <c r="AA9" s="5">
        <v>2</v>
      </c>
      <c r="AB9" s="17"/>
      <c r="AC9" s="16"/>
      <c r="AD9" s="5" t="s">
        <v>159</v>
      </c>
      <c r="AE9" s="5">
        <v>3</v>
      </c>
      <c r="AF9" s="17"/>
      <c r="AG9" s="16"/>
      <c r="AH9" s="5" t="s">
        <v>142</v>
      </c>
      <c r="AI9" s="5"/>
      <c r="AJ9" s="17"/>
      <c r="AK9" s="3"/>
      <c r="AL9" s="3"/>
      <c r="AM9" s="3"/>
      <c r="AN9" s="3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</row>
    <row r="10" spans="1:77" ht="33" customHeight="1" x14ac:dyDescent="0.25">
      <c r="A10" s="15"/>
      <c r="B10" s="5" t="s">
        <v>39</v>
      </c>
      <c r="C10" s="5">
        <v>5</v>
      </c>
      <c r="D10" s="17"/>
      <c r="E10" s="15"/>
      <c r="F10" s="5" t="s">
        <v>40</v>
      </c>
      <c r="G10" s="5">
        <v>3</v>
      </c>
      <c r="H10" s="17"/>
      <c r="I10" s="16"/>
      <c r="J10" s="5" t="s">
        <v>41</v>
      </c>
      <c r="K10" s="5">
        <v>5</v>
      </c>
      <c r="L10" s="17"/>
      <c r="M10" s="16"/>
      <c r="N10" s="5" t="s">
        <v>20</v>
      </c>
      <c r="O10" s="5"/>
      <c r="P10" s="24"/>
      <c r="Q10" s="15"/>
      <c r="R10" s="5" t="s">
        <v>102</v>
      </c>
      <c r="S10" s="6">
        <v>5</v>
      </c>
      <c r="T10" s="24"/>
      <c r="U10" s="16"/>
      <c r="V10" s="5" t="s">
        <v>121</v>
      </c>
      <c r="W10" s="5">
        <v>5</v>
      </c>
      <c r="X10" s="17"/>
      <c r="Y10" s="16"/>
      <c r="Z10" s="5" t="s">
        <v>109</v>
      </c>
      <c r="AA10" s="5">
        <v>3</v>
      </c>
      <c r="AB10" s="17"/>
      <c r="AC10" s="16"/>
      <c r="AD10" s="5" t="s">
        <v>149</v>
      </c>
      <c r="AE10" s="5">
        <v>3</v>
      </c>
      <c r="AF10" s="17"/>
      <c r="AG10" s="16"/>
      <c r="AH10" s="5" t="s">
        <v>144</v>
      </c>
      <c r="AI10" s="5">
        <v>3</v>
      </c>
      <c r="AJ10" s="17"/>
      <c r="AK10" s="3"/>
      <c r="AL10" s="3"/>
      <c r="AM10" s="3"/>
      <c r="AN10" s="3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</row>
    <row r="11" spans="1:77" ht="49.5" customHeight="1" x14ac:dyDescent="0.25">
      <c r="A11" s="15"/>
      <c r="B11" s="5" t="s">
        <v>43</v>
      </c>
      <c r="C11" s="5">
        <v>5</v>
      </c>
      <c r="D11" s="17"/>
      <c r="E11" s="15"/>
      <c r="F11" s="5" t="s">
        <v>22</v>
      </c>
      <c r="G11" s="5">
        <v>0</v>
      </c>
      <c r="H11" s="17"/>
      <c r="I11" s="16"/>
      <c r="J11" s="5" t="s">
        <v>23</v>
      </c>
      <c r="K11" s="5" t="s">
        <v>23</v>
      </c>
      <c r="L11" s="17"/>
      <c r="M11" s="16"/>
      <c r="N11" s="5" t="s">
        <v>23</v>
      </c>
      <c r="O11" s="5" t="s">
        <v>23</v>
      </c>
      <c r="P11" s="24"/>
      <c r="Q11" s="15"/>
      <c r="R11" s="5" t="s">
        <v>44</v>
      </c>
      <c r="S11" s="6">
        <v>3</v>
      </c>
      <c r="T11" s="24"/>
      <c r="U11" s="16"/>
      <c r="V11" s="5" t="s">
        <v>99</v>
      </c>
      <c r="W11" s="5"/>
      <c r="X11" s="17"/>
      <c r="Y11" s="16"/>
      <c r="Z11" s="5" t="s">
        <v>23</v>
      </c>
      <c r="AA11" s="5" t="s">
        <v>23</v>
      </c>
      <c r="AB11" s="17"/>
      <c r="AC11" s="16"/>
      <c r="AD11" s="5" t="s">
        <v>150</v>
      </c>
      <c r="AE11" s="5"/>
      <c r="AF11" s="17"/>
      <c r="AG11" s="16"/>
      <c r="AH11" s="5" t="s">
        <v>23</v>
      </c>
      <c r="AI11" s="5" t="s">
        <v>23</v>
      </c>
      <c r="AJ11" s="17"/>
      <c r="AK11" s="3"/>
      <c r="AL11" s="3"/>
      <c r="AM11" s="3"/>
      <c r="AN11" s="3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</row>
    <row r="12" spans="1:77" ht="49.5" customHeight="1" x14ac:dyDescent="0.25">
      <c r="A12" s="15" t="s">
        <v>46</v>
      </c>
      <c r="B12" s="5" t="s">
        <v>47</v>
      </c>
      <c r="C12" s="5">
        <v>0</v>
      </c>
      <c r="D12" s="17">
        <f>SUM(C12:C15)</f>
        <v>5</v>
      </c>
      <c r="E12" s="15" t="s">
        <v>48</v>
      </c>
      <c r="F12" s="5" t="s">
        <v>49</v>
      </c>
      <c r="G12" s="5">
        <v>0</v>
      </c>
      <c r="H12" s="17">
        <f>SUM(G12:G15)</f>
        <v>10</v>
      </c>
      <c r="I12" s="16" t="s">
        <v>50</v>
      </c>
      <c r="J12" s="5" t="s">
        <v>51</v>
      </c>
      <c r="K12" s="5">
        <v>5</v>
      </c>
      <c r="L12" s="17">
        <f>SUM(K12:K15)</f>
        <v>15</v>
      </c>
      <c r="M12" s="15" t="s">
        <v>52</v>
      </c>
      <c r="N12" s="5" t="s">
        <v>153</v>
      </c>
      <c r="O12" s="5">
        <v>4</v>
      </c>
      <c r="P12" s="24">
        <f>SUM(O12:O15)</f>
        <v>4</v>
      </c>
      <c r="Q12" s="16" t="s">
        <v>53</v>
      </c>
      <c r="R12" s="5" t="s">
        <v>54</v>
      </c>
      <c r="S12" s="6">
        <v>5</v>
      </c>
      <c r="T12" s="24">
        <f>SUM(S12:S15)</f>
        <v>18</v>
      </c>
      <c r="U12" s="16"/>
      <c r="V12" s="5" t="s">
        <v>122</v>
      </c>
      <c r="W12" s="5"/>
      <c r="X12" s="17"/>
      <c r="Y12" s="15" t="s">
        <v>100</v>
      </c>
      <c r="Z12" s="5" t="s">
        <v>110</v>
      </c>
      <c r="AA12" s="5">
        <v>5</v>
      </c>
      <c r="AB12" s="17">
        <f>SUM(AA12:AA15)</f>
        <v>12</v>
      </c>
      <c r="AC12" s="15" t="s">
        <v>135</v>
      </c>
      <c r="AD12" s="5" t="s">
        <v>160</v>
      </c>
      <c r="AE12" s="5">
        <v>5</v>
      </c>
      <c r="AF12" s="17">
        <f>SUM(AE12:AE15)</f>
        <v>12</v>
      </c>
      <c r="AG12" s="15" t="s">
        <v>143</v>
      </c>
      <c r="AH12" s="5" t="s">
        <v>145</v>
      </c>
      <c r="AI12" s="5">
        <v>5</v>
      </c>
      <c r="AJ12" s="17">
        <f>SUM(AI12:AI15)</f>
        <v>9</v>
      </c>
      <c r="AK12" s="3"/>
      <c r="AL12" s="3"/>
      <c r="AM12" s="3"/>
      <c r="AN12" s="3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</row>
    <row r="13" spans="1:77" ht="66" x14ac:dyDescent="0.25">
      <c r="A13" s="15"/>
      <c r="B13" s="5" t="s">
        <v>55</v>
      </c>
      <c r="C13" s="5">
        <v>0</v>
      </c>
      <c r="D13" s="17"/>
      <c r="E13" s="15"/>
      <c r="F13" s="5" t="s">
        <v>125</v>
      </c>
      <c r="G13" s="5">
        <v>5</v>
      </c>
      <c r="H13" s="17"/>
      <c r="I13" s="16"/>
      <c r="J13" s="5" t="s">
        <v>56</v>
      </c>
      <c r="K13" s="5">
        <v>5</v>
      </c>
      <c r="L13" s="17"/>
      <c r="M13" s="16"/>
      <c r="N13" s="5" t="s">
        <v>15</v>
      </c>
      <c r="O13" s="5"/>
      <c r="P13" s="24"/>
      <c r="Q13" s="16"/>
      <c r="R13" s="5" t="s">
        <v>57</v>
      </c>
      <c r="S13" s="6">
        <v>5</v>
      </c>
      <c r="T13" s="24"/>
      <c r="U13" s="16"/>
      <c r="V13" s="5" t="s">
        <v>34</v>
      </c>
      <c r="W13" s="5"/>
      <c r="X13" s="17"/>
      <c r="Y13" s="16"/>
      <c r="Z13" s="5" t="s">
        <v>111</v>
      </c>
      <c r="AA13" s="5">
        <v>3</v>
      </c>
      <c r="AB13" s="17"/>
      <c r="AC13" s="16"/>
      <c r="AD13" s="5" t="s">
        <v>161</v>
      </c>
      <c r="AE13" s="5">
        <v>5</v>
      </c>
      <c r="AF13" s="17"/>
      <c r="AG13" s="16"/>
      <c r="AH13" s="5" t="s">
        <v>146</v>
      </c>
      <c r="AI13" s="5"/>
      <c r="AJ13" s="17"/>
      <c r="AK13" s="3"/>
      <c r="AL13" s="3"/>
      <c r="AM13" s="3"/>
      <c r="AN13" s="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</row>
    <row r="14" spans="1:77" ht="52.5" customHeight="1" x14ac:dyDescent="0.25">
      <c r="A14" s="15"/>
      <c r="B14" s="5" t="s">
        <v>58</v>
      </c>
      <c r="C14" s="5">
        <v>0</v>
      </c>
      <c r="D14" s="17"/>
      <c r="E14" s="15"/>
      <c r="F14" s="5" t="s">
        <v>59</v>
      </c>
      <c r="G14" s="5">
        <v>5</v>
      </c>
      <c r="H14" s="17"/>
      <c r="I14" s="16"/>
      <c r="J14" s="5" t="s">
        <v>60</v>
      </c>
      <c r="K14" s="5">
        <v>5</v>
      </c>
      <c r="L14" s="17"/>
      <c r="M14" s="16"/>
      <c r="N14" s="5" t="s">
        <v>20</v>
      </c>
      <c r="O14" s="5"/>
      <c r="P14" s="24"/>
      <c r="Q14" s="16"/>
      <c r="R14" s="5" t="s">
        <v>61</v>
      </c>
      <c r="S14" s="6">
        <v>3</v>
      </c>
      <c r="T14" s="24"/>
      <c r="U14" s="16" t="s">
        <v>62</v>
      </c>
      <c r="V14" s="5" t="s">
        <v>129</v>
      </c>
      <c r="W14" s="5">
        <v>5</v>
      </c>
      <c r="X14" s="17">
        <f>SUM(W14:W18)</f>
        <v>5</v>
      </c>
      <c r="Y14" s="16"/>
      <c r="Z14" s="5" t="s">
        <v>112</v>
      </c>
      <c r="AA14" s="5">
        <v>4</v>
      </c>
      <c r="AB14" s="17"/>
      <c r="AC14" s="16"/>
      <c r="AD14" s="5" t="s">
        <v>162</v>
      </c>
      <c r="AE14" s="5">
        <v>2</v>
      </c>
      <c r="AF14" s="17"/>
      <c r="AG14" s="16"/>
      <c r="AH14" s="5" t="s">
        <v>147</v>
      </c>
      <c r="AI14" s="5">
        <v>4</v>
      </c>
      <c r="AJ14" s="17"/>
      <c r="AK14" s="3"/>
      <c r="AL14" s="3"/>
      <c r="AM14" s="3"/>
      <c r="AN14" s="3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</row>
    <row r="15" spans="1:77" ht="85.5" customHeight="1" thickBot="1" x14ac:dyDescent="0.3">
      <c r="A15" s="15"/>
      <c r="B15" s="5" t="s">
        <v>63</v>
      </c>
      <c r="C15" s="5">
        <v>5</v>
      </c>
      <c r="D15" s="17"/>
      <c r="E15" s="15"/>
      <c r="F15" s="5" t="s">
        <v>22</v>
      </c>
      <c r="G15" s="5">
        <v>0</v>
      </c>
      <c r="H15" s="17"/>
      <c r="I15" s="16"/>
      <c r="J15" s="5" t="s">
        <v>23</v>
      </c>
      <c r="K15" s="5" t="s">
        <v>23</v>
      </c>
      <c r="L15" s="17"/>
      <c r="M15" s="19"/>
      <c r="N15" s="7" t="s">
        <v>23</v>
      </c>
      <c r="O15" s="7" t="s">
        <v>23</v>
      </c>
      <c r="P15" s="34"/>
      <c r="Q15" s="16"/>
      <c r="R15" s="5" t="s">
        <v>64</v>
      </c>
      <c r="S15" s="6">
        <v>5</v>
      </c>
      <c r="T15" s="24"/>
      <c r="U15" s="16"/>
      <c r="V15" s="5" t="s">
        <v>42</v>
      </c>
      <c r="W15" s="5"/>
      <c r="X15" s="17"/>
      <c r="Y15" s="16"/>
      <c r="Z15" s="5" t="s">
        <v>23</v>
      </c>
      <c r="AA15" s="5" t="s">
        <v>23</v>
      </c>
      <c r="AB15" s="17"/>
      <c r="AC15" s="19"/>
      <c r="AD15" s="7" t="s">
        <v>150</v>
      </c>
      <c r="AE15" s="7"/>
      <c r="AF15" s="20"/>
      <c r="AG15" s="19"/>
      <c r="AH15" s="7" t="s">
        <v>23</v>
      </c>
      <c r="AI15" s="7" t="s">
        <v>23</v>
      </c>
      <c r="AJ15" s="20"/>
      <c r="AK15" s="3"/>
      <c r="AL15" s="3"/>
      <c r="AM15" s="3"/>
      <c r="AN15" s="3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</row>
    <row r="16" spans="1:77" ht="50.25" customHeight="1" thickTop="1" x14ac:dyDescent="0.25">
      <c r="A16" s="15" t="s">
        <v>65</v>
      </c>
      <c r="B16" s="5" t="s">
        <v>97</v>
      </c>
      <c r="C16" s="5">
        <v>0</v>
      </c>
      <c r="D16" s="17">
        <f>SUM(C16:C19)</f>
        <v>9</v>
      </c>
      <c r="E16" s="15" t="s">
        <v>66</v>
      </c>
      <c r="F16" s="5" t="s">
        <v>67</v>
      </c>
      <c r="G16" s="5">
        <v>5</v>
      </c>
      <c r="H16" s="17">
        <f>SUM(G16:G19)</f>
        <v>13</v>
      </c>
      <c r="I16" s="16" t="s">
        <v>68</v>
      </c>
      <c r="J16" s="5" t="s">
        <v>128</v>
      </c>
      <c r="K16" s="5">
        <v>2</v>
      </c>
      <c r="L16" s="17">
        <f>SUM(K16:K19)</f>
        <v>7</v>
      </c>
      <c r="M16" s="9"/>
      <c r="N16" s="9"/>
      <c r="O16" s="9"/>
      <c r="P16" s="9"/>
      <c r="Q16" s="16" t="s">
        <v>69</v>
      </c>
      <c r="R16" s="5" t="s">
        <v>70</v>
      </c>
      <c r="S16" s="6">
        <v>5</v>
      </c>
      <c r="T16" s="24">
        <f>SUM(S16:S19)</f>
        <v>19</v>
      </c>
      <c r="U16" s="16"/>
      <c r="V16" s="5" t="s">
        <v>45</v>
      </c>
      <c r="W16" s="5"/>
      <c r="X16" s="17"/>
      <c r="Y16" s="15" t="s">
        <v>93</v>
      </c>
      <c r="Z16" s="5" t="s">
        <v>113</v>
      </c>
      <c r="AA16" s="5">
        <v>3</v>
      </c>
      <c r="AB16" s="17">
        <f>SUM(AA16:AA19)</f>
        <v>13</v>
      </c>
      <c r="AC16" s="9"/>
      <c r="AD16" s="9"/>
      <c r="AE16" s="9"/>
      <c r="AF16" s="9"/>
      <c r="AG16" s="9"/>
      <c r="AH16" s="9"/>
      <c r="AI16" s="9"/>
      <c r="AJ16" s="9"/>
      <c r="AK16" s="3"/>
      <c r="AL16" s="3"/>
      <c r="AM16" s="3"/>
      <c r="AN16" s="3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</row>
    <row r="17" spans="1:77" ht="110.25" x14ac:dyDescent="0.25">
      <c r="A17" s="15"/>
      <c r="B17" s="5" t="s">
        <v>71</v>
      </c>
      <c r="C17" s="5">
        <v>5</v>
      </c>
      <c r="D17" s="17"/>
      <c r="E17" s="15"/>
      <c r="F17" s="5" t="s">
        <v>126</v>
      </c>
      <c r="G17" s="5">
        <v>3</v>
      </c>
      <c r="H17" s="17"/>
      <c r="I17" s="16"/>
      <c r="J17" s="5" t="s">
        <v>72</v>
      </c>
      <c r="K17" s="5">
        <v>4</v>
      </c>
      <c r="L17" s="17"/>
      <c r="M17" s="9"/>
      <c r="N17" s="9"/>
      <c r="O17" s="10"/>
      <c r="P17" s="9"/>
      <c r="Q17" s="16"/>
      <c r="R17" s="5" t="s">
        <v>73</v>
      </c>
      <c r="S17" s="6">
        <v>5</v>
      </c>
      <c r="T17" s="24"/>
      <c r="U17" s="16"/>
      <c r="V17" s="5" t="s">
        <v>98</v>
      </c>
      <c r="W17" s="5"/>
      <c r="X17" s="17"/>
      <c r="Y17" s="15"/>
      <c r="Z17" s="5" t="s">
        <v>114</v>
      </c>
      <c r="AA17" s="5">
        <v>5</v>
      </c>
      <c r="AB17" s="17"/>
      <c r="AC17" s="9"/>
      <c r="AD17" s="9"/>
      <c r="AE17" s="9"/>
      <c r="AF17" s="9"/>
      <c r="AG17" s="9"/>
      <c r="AH17" s="9"/>
      <c r="AI17" s="9"/>
      <c r="AJ17" s="9"/>
      <c r="AK17" s="3"/>
      <c r="AL17" s="3"/>
      <c r="AM17" s="3"/>
      <c r="AN17" s="3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</row>
    <row r="18" spans="1:77" ht="45" customHeight="1" x14ac:dyDescent="0.25">
      <c r="A18" s="15"/>
      <c r="B18" s="5" t="s">
        <v>74</v>
      </c>
      <c r="C18" s="5" t="s">
        <v>23</v>
      </c>
      <c r="D18" s="17"/>
      <c r="E18" s="15"/>
      <c r="F18" s="5" t="s">
        <v>75</v>
      </c>
      <c r="G18" s="5">
        <v>5</v>
      </c>
      <c r="H18" s="17"/>
      <c r="I18" s="16"/>
      <c r="J18" s="5" t="s">
        <v>76</v>
      </c>
      <c r="K18" s="5">
        <v>1</v>
      </c>
      <c r="L18" s="17"/>
      <c r="M18" s="9"/>
      <c r="N18" s="9"/>
      <c r="O18" s="9"/>
      <c r="P18" s="9"/>
      <c r="Q18" s="16"/>
      <c r="R18" s="5" t="s">
        <v>103</v>
      </c>
      <c r="S18" s="6">
        <v>5</v>
      </c>
      <c r="T18" s="24"/>
      <c r="U18" s="16"/>
      <c r="V18" s="5" t="s">
        <v>34</v>
      </c>
      <c r="W18" s="5"/>
      <c r="X18" s="17"/>
      <c r="Y18" s="15"/>
      <c r="Z18" s="5" t="s">
        <v>115</v>
      </c>
      <c r="AA18" s="5">
        <v>5</v>
      </c>
      <c r="AB18" s="17"/>
      <c r="AC18" s="9"/>
      <c r="AD18" s="9"/>
      <c r="AE18" s="9"/>
      <c r="AF18" s="9"/>
      <c r="AG18" s="9"/>
      <c r="AH18" s="9"/>
      <c r="AI18" s="9"/>
      <c r="AJ18" s="9"/>
      <c r="AK18" s="3"/>
      <c r="AL18" s="3"/>
      <c r="AM18" s="3"/>
      <c r="AN18" s="3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</row>
    <row r="19" spans="1:77" ht="78.75" customHeight="1" thickBot="1" x14ac:dyDescent="0.3">
      <c r="A19" s="18"/>
      <c r="B19" s="7" t="s">
        <v>77</v>
      </c>
      <c r="C19" s="7">
        <v>4</v>
      </c>
      <c r="D19" s="20"/>
      <c r="E19" s="18"/>
      <c r="F19" s="7" t="s">
        <v>22</v>
      </c>
      <c r="G19" s="7">
        <v>0</v>
      </c>
      <c r="H19" s="20"/>
      <c r="I19" s="19"/>
      <c r="J19" s="7" t="s">
        <v>23</v>
      </c>
      <c r="K19" s="7" t="s">
        <v>23</v>
      </c>
      <c r="L19" s="20"/>
      <c r="M19" s="9"/>
      <c r="N19" s="9"/>
      <c r="O19" s="9"/>
      <c r="P19" s="9"/>
      <c r="Q19" s="19"/>
      <c r="R19" s="7" t="s">
        <v>78</v>
      </c>
      <c r="S19" s="8">
        <v>4</v>
      </c>
      <c r="T19" s="34"/>
      <c r="U19" s="16" t="s">
        <v>83</v>
      </c>
      <c r="V19" s="5" t="s">
        <v>131</v>
      </c>
      <c r="W19" s="5">
        <v>5</v>
      </c>
      <c r="X19" s="17">
        <f>SUM(W19:W23)</f>
        <v>5</v>
      </c>
      <c r="Y19" s="18"/>
      <c r="Z19" s="7" t="s">
        <v>23</v>
      </c>
      <c r="AA19" s="7" t="s">
        <v>23</v>
      </c>
      <c r="AB19" s="20"/>
      <c r="AC19" s="9"/>
      <c r="AD19" s="9"/>
      <c r="AE19" s="9"/>
      <c r="AF19" s="9"/>
      <c r="AG19" s="9"/>
      <c r="AH19" s="9"/>
      <c r="AI19" s="9"/>
      <c r="AJ19" s="9"/>
      <c r="AK19" s="3"/>
      <c r="AL19" s="3"/>
      <c r="AM19" s="3"/>
      <c r="AN19" s="3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</row>
    <row r="20" spans="1:77" ht="44.25" customHeight="1" thickTop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6"/>
      <c r="V20" s="5" t="s">
        <v>42</v>
      </c>
      <c r="W20" s="5"/>
      <c r="X20" s="17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3"/>
      <c r="AL20" s="3"/>
      <c r="AM20" s="3"/>
      <c r="AN20" s="3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</row>
    <row r="21" spans="1:77" ht="38.2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6"/>
      <c r="V21" s="5" t="s">
        <v>45</v>
      </c>
      <c r="W21" s="5"/>
      <c r="X21" s="17"/>
      <c r="Y21" s="9"/>
      <c r="Z21" s="9"/>
      <c r="AA21" s="9"/>
      <c r="AB21" s="9"/>
      <c r="AC21" s="9"/>
      <c r="AD21" s="9"/>
      <c r="AE21" s="9"/>
      <c r="AF21" s="9"/>
      <c r="AG21" s="3"/>
      <c r="AH21" s="3"/>
      <c r="AI21" s="3"/>
      <c r="AJ21" s="3"/>
      <c r="AK21" s="3"/>
      <c r="AL21" s="3"/>
      <c r="AM21" s="3"/>
      <c r="AN21" s="3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</row>
    <row r="22" spans="1:77" ht="44.25" customHeight="1" x14ac:dyDescent="0.25">
      <c r="A22" s="9" t="s">
        <v>79</v>
      </c>
      <c r="B22" s="11" t="s">
        <v>80</v>
      </c>
      <c r="C22" s="12"/>
      <c r="D22" s="12"/>
      <c r="E22" s="12"/>
      <c r="F22" s="9"/>
      <c r="G22" s="9"/>
      <c r="H22" s="9"/>
      <c r="I22" s="9"/>
      <c r="J22" s="9"/>
      <c r="K22" s="9"/>
      <c r="L22" s="9"/>
      <c r="M22" s="9"/>
      <c r="N22" s="9"/>
      <c r="O22" s="10"/>
      <c r="P22" s="9"/>
      <c r="Q22" s="9"/>
      <c r="R22" s="9"/>
      <c r="S22" s="9"/>
      <c r="T22" s="9"/>
      <c r="U22" s="16"/>
      <c r="V22" s="5" t="s">
        <v>98</v>
      </c>
      <c r="W22" s="5"/>
      <c r="X22" s="17"/>
      <c r="Y22" s="9"/>
      <c r="Z22" s="9"/>
      <c r="AA22" s="9"/>
      <c r="AB22" s="9"/>
      <c r="AC22" s="9"/>
      <c r="AD22" s="9"/>
      <c r="AE22" s="9"/>
      <c r="AF22" s="9"/>
      <c r="AG22" s="3"/>
      <c r="AH22" s="3"/>
      <c r="AI22" s="3"/>
      <c r="AJ22" s="3"/>
      <c r="AK22" s="3"/>
      <c r="AL22" s="3"/>
      <c r="AM22" s="3"/>
      <c r="AN22" s="3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</row>
    <row r="23" spans="1:77" ht="38.25" customHeight="1" x14ac:dyDescent="0.25">
      <c r="A23" s="9"/>
      <c r="B23" s="13" t="s">
        <v>81</v>
      </c>
      <c r="C23" s="12"/>
      <c r="D23" s="12"/>
      <c r="E23" s="12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6"/>
      <c r="V23" s="5" t="s">
        <v>34</v>
      </c>
      <c r="W23" s="5"/>
      <c r="X23" s="17"/>
      <c r="Y23" s="9"/>
      <c r="Z23" s="9"/>
      <c r="AA23" s="9"/>
      <c r="AB23" s="9"/>
      <c r="AC23" s="9"/>
      <c r="AD23" s="9"/>
      <c r="AE23" s="9"/>
      <c r="AF23" s="9"/>
      <c r="AG23" s="3"/>
      <c r="AH23" s="3"/>
      <c r="AI23" s="3"/>
      <c r="AJ23" s="3"/>
      <c r="AK23" s="3"/>
      <c r="AL23" s="3"/>
      <c r="AM23" s="3"/>
      <c r="AN23" s="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</row>
    <row r="24" spans="1:77" ht="52.5" customHeight="1" x14ac:dyDescent="0.25">
      <c r="A24" s="9"/>
      <c r="B24" s="13" t="s">
        <v>82</v>
      </c>
      <c r="C24" s="12"/>
      <c r="D24" s="12"/>
      <c r="E24" s="12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6" t="s">
        <v>85</v>
      </c>
      <c r="V24" s="5" t="s">
        <v>130</v>
      </c>
      <c r="W24" s="5">
        <v>3</v>
      </c>
      <c r="X24" s="17">
        <f>SUM(W24:W28)</f>
        <v>3</v>
      </c>
      <c r="Y24" s="9"/>
      <c r="Z24" s="9"/>
      <c r="AA24" s="9"/>
      <c r="AB24" s="9"/>
      <c r="AC24" s="9"/>
      <c r="AD24" s="9"/>
      <c r="AE24" s="9"/>
      <c r="AF24" s="9"/>
      <c r="AG24" s="3"/>
      <c r="AH24" s="3"/>
      <c r="AI24" s="3"/>
      <c r="AJ24" s="3"/>
      <c r="AK24" s="3"/>
      <c r="AL24" s="3"/>
      <c r="AM24" s="3"/>
      <c r="AN24" s="3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</row>
    <row r="25" spans="1:77" ht="56.25" customHeight="1" x14ac:dyDescent="0.25">
      <c r="A25" s="9"/>
      <c r="B25" s="13" t="s">
        <v>84</v>
      </c>
      <c r="C25" s="12"/>
      <c r="D25" s="12"/>
      <c r="E25" s="12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3"/>
      <c r="R25" s="3"/>
      <c r="S25" s="3"/>
      <c r="T25" s="3"/>
      <c r="U25" s="16"/>
      <c r="V25" s="5" t="s">
        <v>42</v>
      </c>
      <c r="W25" s="5"/>
      <c r="X25" s="17"/>
      <c r="Y25" s="9"/>
      <c r="Z25" s="9"/>
      <c r="AA25" s="9"/>
      <c r="AB25" s="9"/>
      <c r="AC25" s="9"/>
      <c r="AD25" s="9"/>
      <c r="AE25" s="9"/>
      <c r="AF25" s="9"/>
      <c r="AG25" s="3"/>
      <c r="AH25" s="3"/>
      <c r="AI25" s="3"/>
      <c r="AJ25" s="3"/>
      <c r="AK25" s="3"/>
      <c r="AL25" s="3"/>
      <c r="AM25" s="3"/>
      <c r="AN25" s="3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</row>
    <row r="26" spans="1:77" ht="46.5" customHeight="1" x14ac:dyDescent="0.25">
      <c r="A26" s="9"/>
      <c r="B26" s="9"/>
      <c r="C26" s="12"/>
      <c r="D26" s="12"/>
      <c r="E26" s="12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3"/>
      <c r="R26" s="3"/>
      <c r="S26" s="3"/>
      <c r="T26" s="3"/>
      <c r="U26" s="16"/>
      <c r="V26" s="5" t="s">
        <v>45</v>
      </c>
      <c r="W26" s="5"/>
      <c r="X26" s="17"/>
      <c r="Y26" s="9"/>
      <c r="Z26" s="9"/>
      <c r="AA26" s="9"/>
      <c r="AB26" s="9"/>
      <c r="AC26" s="9"/>
      <c r="AD26" s="9"/>
      <c r="AE26" s="9"/>
      <c r="AF26" s="9"/>
      <c r="AG26" s="3"/>
      <c r="AH26" s="3"/>
      <c r="AI26" s="3"/>
      <c r="AJ26" s="3"/>
      <c r="AK26" s="3"/>
      <c r="AL26" s="3"/>
      <c r="AM26" s="3"/>
      <c r="AN26" s="3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</row>
    <row r="27" spans="1:77" ht="42" customHeight="1" x14ac:dyDescent="0.25">
      <c r="A27" s="9"/>
      <c r="B27" s="9"/>
      <c r="C27" s="12"/>
      <c r="D27" s="12"/>
      <c r="E27" s="1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3"/>
      <c r="R27" s="3"/>
      <c r="S27" s="3"/>
      <c r="T27" s="3"/>
      <c r="U27" s="16"/>
      <c r="V27" s="5" t="s">
        <v>98</v>
      </c>
      <c r="W27" s="5"/>
      <c r="X27" s="17"/>
      <c r="Y27" s="9"/>
      <c r="Z27" s="9"/>
      <c r="AA27" s="9"/>
      <c r="AB27" s="9"/>
      <c r="AC27" s="9"/>
      <c r="AD27" s="9"/>
      <c r="AE27" s="9"/>
      <c r="AF27" s="9"/>
      <c r="AG27" s="3"/>
      <c r="AH27" s="3"/>
      <c r="AI27" s="3"/>
      <c r="AJ27" s="3"/>
      <c r="AK27" s="3"/>
      <c r="AL27" s="3"/>
      <c r="AM27" s="3"/>
      <c r="AN27" s="3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</row>
    <row r="28" spans="1:77" ht="49.5" customHeight="1" thickBot="1" x14ac:dyDescent="0.3">
      <c r="A28" s="9"/>
      <c r="B28" s="9"/>
      <c r="C28" s="12"/>
      <c r="D28" s="12"/>
      <c r="E28" s="12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3"/>
      <c r="R28" s="3"/>
      <c r="S28" s="3"/>
      <c r="T28" s="3"/>
      <c r="U28" s="19"/>
      <c r="V28" s="7" t="s">
        <v>34</v>
      </c>
      <c r="W28" s="7"/>
      <c r="X28" s="20"/>
      <c r="Y28" s="9"/>
      <c r="Z28" s="9"/>
      <c r="AA28" s="9"/>
      <c r="AB28" s="9"/>
      <c r="AC28" s="9"/>
      <c r="AD28" s="9"/>
      <c r="AE28" s="9"/>
      <c r="AF28" s="9"/>
      <c r="AG28" s="3"/>
      <c r="AH28" s="3"/>
      <c r="AI28" s="3"/>
      <c r="AJ28" s="3"/>
      <c r="AK28" s="3"/>
      <c r="AL28" s="3"/>
      <c r="AM28" s="3"/>
      <c r="AN28" s="3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</row>
    <row r="29" spans="1:77" ht="47.25" customHeight="1" thickTop="1" x14ac:dyDescent="0.25">
      <c r="A29" s="3"/>
      <c r="B29" s="4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</row>
    <row r="30" spans="1:77" ht="42.75" customHeight="1" x14ac:dyDescent="0.25">
      <c r="A30" s="3"/>
      <c r="B30" s="4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</row>
    <row r="31" spans="1:77" ht="36" customHeight="1" x14ac:dyDescent="0.25">
      <c r="A31" s="3"/>
      <c r="B31" s="4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</row>
    <row r="32" spans="1:77" ht="40.5" customHeight="1" x14ac:dyDescent="0.25">
      <c r="A32" s="3"/>
      <c r="B32" s="4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</row>
    <row r="33" spans="1:77" ht="42.75" customHeight="1" x14ac:dyDescent="0.25">
      <c r="A33" s="3"/>
      <c r="B33" s="4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</row>
    <row r="34" spans="1:77" ht="39.75" customHeight="1" x14ac:dyDescent="0.25">
      <c r="A34" s="3"/>
      <c r="B34" s="4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</row>
    <row r="35" spans="1:77" ht="46.5" customHeight="1" x14ac:dyDescent="0.25">
      <c r="A35" s="3"/>
      <c r="B35" s="4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</row>
    <row r="36" spans="1:77" ht="37.5" customHeight="1" x14ac:dyDescent="0.25">
      <c r="A36" s="3"/>
      <c r="B36" s="4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</row>
    <row r="37" spans="1:77" ht="43.5" customHeight="1" x14ac:dyDescent="0.25">
      <c r="A37" s="3"/>
      <c r="B37" s="3"/>
      <c r="C37" s="4"/>
      <c r="D37" s="4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</row>
    <row r="38" spans="1:77" ht="46.5" customHeight="1" x14ac:dyDescent="0.25">
      <c r="A38" s="3"/>
      <c r="B38" s="3"/>
      <c r="C38" s="4"/>
      <c r="D38" s="4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ht="53.25" customHeight="1" x14ac:dyDescent="0.25">
      <c r="A39" s="3"/>
      <c r="B39" s="3"/>
      <c r="C39" s="3"/>
      <c r="D39" s="3"/>
      <c r="E39" s="3"/>
      <c r="F39" s="3"/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ht="63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</row>
    <row r="41" spans="1:77" ht="66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14"/>
      <c r="P41" s="1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ht="54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14"/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ht="56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14"/>
      <c r="P43" s="1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</row>
    <row r="44" spans="1:77" ht="51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ht="51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</row>
    <row r="46" spans="1:77" ht="63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</row>
    <row r="47" spans="1:77" ht="53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</row>
    <row r="48" spans="1:77" ht="60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</row>
    <row r="49" spans="1:77" ht="17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</row>
    <row r="50" spans="1:77" ht="16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</row>
    <row r="51" spans="1:77" ht="16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</row>
    <row r="52" spans="1:77" ht="16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</row>
    <row r="53" spans="1:77" ht="17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</row>
    <row r="54" spans="1:77" ht="17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</row>
    <row r="55" spans="1:77" ht="16.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</row>
    <row r="56" spans="1:77" ht="16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</row>
    <row r="57" spans="1:77" ht="16.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</row>
    <row r="58" spans="1:77" ht="17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</row>
    <row r="59" spans="1:77" ht="17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</row>
    <row r="60" spans="1:77" ht="16.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</row>
    <row r="61" spans="1:77" ht="16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</row>
    <row r="62" spans="1:77" ht="16.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</row>
    <row r="63" spans="1:77" ht="17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</row>
    <row r="64" spans="1:7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</row>
    <row r="65" spans="1:7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</row>
    <row r="66" spans="1:7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</row>
    <row r="67" spans="1:7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</row>
    <row r="68" spans="1:7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</row>
    <row r="69" spans="1:7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</row>
    <row r="70" spans="1:7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</row>
    <row r="71" spans="1:7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</row>
    <row r="72" spans="1:7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</row>
    <row r="73" spans="1:7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</row>
    <row r="74" spans="1:7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</row>
    <row r="75" spans="1:7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</row>
    <row r="76" spans="1:7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</row>
    <row r="77" spans="1:7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</row>
    <row r="78" spans="1:7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</row>
    <row r="79" spans="1:7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</row>
    <row r="80" spans="1:7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</row>
    <row r="81" spans="1:7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</row>
    <row r="82" spans="1:7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</row>
    <row r="83" spans="1:7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</row>
    <row r="84" spans="1:7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</row>
    <row r="85" spans="1:7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</row>
    <row r="86" spans="1:7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</row>
    <row r="87" spans="1:7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</row>
    <row r="88" spans="1:7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</row>
    <row r="89" spans="1:7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</row>
    <row r="90" spans="1:7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</row>
    <row r="91" spans="1:7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</row>
    <row r="92" spans="1:7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</row>
    <row r="93" spans="1:7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</row>
    <row r="94" spans="1:7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</row>
    <row r="95" spans="1:7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</row>
    <row r="96" spans="1:7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</row>
    <row r="97" spans="1:7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</row>
    <row r="98" spans="1:7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</row>
    <row r="99" spans="1:7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</row>
    <row r="100" spans="1:7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</row>
    <row r="101" spans="1:7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</row>
    <row r="102" spans="1:7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</row>
    <row r="103" spans="1:7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</row>
    <row r="104" spans="1:7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</row>
    <row r="105" spans="1:7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</row>
    <row r="106" spans="1:7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</row>
    <row r="107" spans="1:7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</row>
    <row r="108" spans="1:7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</row>
    <row r="109" spans="1:7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</row>
    <row r="110" spans="1:7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</row>
    <row r="111" spans="1:7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</row>
    <row r="112" spans="1:7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</row>
    <row r="113" spans="1:7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</row>
    <row r="114" spans="1:7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</row>
    <row r="115" spans="1:7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7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</row>
    <row r="117" spans="1:7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</row>
    <row r="118" spans="1:7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</row>
    <row r="119" spans="1:7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</row>
    <row r="120" spans="1:7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</row>
    <row r="121" spans="1:7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</row>
    <row r="122" spans="1:7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</row>
    <row r="123" spans="1:7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</row>
    <row r="124" spans="1:7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</row>
    <row r="125" spans="1:7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</row>
    <row r="126" spans="1:7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</row>
    <row r="127" spans="1:7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</row>
    <row r="128" spans="1:7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</row>
    <row r="129" spans="1:7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</row>
    <row r="130" spans="1:7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</row>
    <row r="131" spans="1:7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</row>
    <row r="132" spans="1:7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</row>
    <row r="133" spans="1:7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</row>
    <row r="134" spans="1:7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</row>
    <row r="135" spans="1:7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</row>
    <row r="136" spans="1:7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</row>
    <row r="137" spans="1:7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</row>
    <row r="138" spans="1:7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</row>
    <row r="139" spans="1:7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</row>
    <row r="140" spans="1:7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</row>
    <row r="141" spans="1:7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</row>
    <row r="142" spans="1:7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</row>
    <row r="143" spans="1:7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</row>
    <row r="144" spans="1:7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</row>
    <row r="145" spans="1:7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</row>
    <row r="146" spans="1:7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</row>
    <row r="147" spans="1:7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</row>
    <row r="148" spans="1:7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</row>
    <row r="149" spans="1:7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</row>
    <row r="150" spans="1:7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</row>
    <row r="151" spans="1:7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</row>
    <row r="152" spans="1:7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</row>
    <row r="153" spans="1:7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</row>
    <row r="154" spans="1:7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</row>
    <row r="155" spans="1:7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</row>
    <row r="156" spans="1:7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</row>
    <row r="157" spans="1:7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</row>
    <row r="158" spans="1:7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</row>
    <row r="159" spans="1:7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</row>
    <row r="160" spans="1:7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</row>
    <row r="161" spans="1:7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</row>
    <row r="162" spans="1:7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</row>
    <row r="163" spans="1:7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</row>
    <row r="164" spans="1:7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</row>
    <row r="165" spans="1:7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</row>
    <row r="166" spans="1:7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</row>
    <row r="167" spans="1:7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</row>
    <row r="168" spans="1:7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</row>
    <row r="169" spans="1:7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</row>
    <row r="170" spans="1:7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</row>
    <row r="171" spans="1:7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</row>
    <row r="172" spans="1:7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</row>
    <row r="173" spans="1:7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</row>
    <row r="174" spans="1:7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</row>
    <row r="175" spans="1:7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</row>
    <row r="176" spans="1:7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</row>
    <row r="177" spans="1:7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</row>
    <row r="178" spans="1:7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</row>
    <row r="179" spans="1:7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</row>
    <row r="180" spans="1:7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</row>
    <row r="181" spans="1:7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</row>
    <row r="182" spans="1:7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</row>
    <row r="183" spans="1:7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</row>
    <row r="184" spans="1:7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</row>
    <row r="185" spans="1:7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</row>
    <row r="186" spans="1:7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</row>
    <row r="187" spans="1:7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</row>
    <row r="188" spans="1:7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</row>
    <row r="189" spans="1:7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</row>
    <row r="190" spans="1:7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</row>
    <row r="191" spans="1:7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</row>
    <row r="192" spans="1:7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</row>
    <row r="193" spans="1:7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</row>
    <row r="194" spans="1:7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</row>
    <row r="195" spans="1:7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</row>
    <row r="196" spans="1:7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</row>
    <row r="197" spans="1:7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</row>
    <row r="198" spans="1:7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</row>
    <row r="199" spans="1:7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</row>
    <row r="200" spans="1:7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</row>
    <row r="201" spans="1:7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</row>
    <row r="202" spans="1:7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</row>
    <row r="203" spans="1:7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</row>
    <row r="204" spans="1:7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</row>
    <row r="205" spans="1:7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</row>
    <row r="206" spans="1:7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</row>
    <row r="207" spans="1:7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</row>
    <row r="208" spans="1:7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</row>
    <row r="209" spans="1:7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</row>
    <row r="210" spans="1:7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</row>
    <row r="211" spans="1:7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</row>
    <row r="212" spans="1:7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</row>
    <row r="213" spans="1:7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</row>
    <row r="214" spans="1:7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</row>
    <row r="215" spans="1:7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</row>
    <row r="216" spans="1:7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</row>
    <row r="217" spans="1:7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</row>
    <row r="218" spans="1:7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</row>
    <row r="219" spans="1:7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</row>
    <row r="220" spans="1:7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</row>
    <row r="221" spans="1:7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</row>
    <row r="222" spans="1:7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</row>
    <row r="223" spans="1:7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</row>
    <row r="224" spans="1:7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</row>
    <row r="225" spans="1:7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</row>
    <row r="226" spans="1:7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</row>
    <row r="227" spans="1:7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</row>
    <row r="228" spans="1:7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</row>
    <row r="229" spans="1:7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</row>
    <row r="230" spans="1:7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</row>
    <row r="231" spans="1:7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</row>
    <row r="232" spans="1:7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</row>
    <row r="233" spans="1:7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</row>
    <row r="234" spans="1:7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</row>
    <row r="235" spans="1:7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</row>
    <row r="236" spans="1:7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</row>
    <row r="237" spans="1:7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</row>
    <row r="238" spans="1:7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</row>
    <row r="239" spans="1:7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</row>
    <row r="240" spans="1:7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</row>
    <row r="241" spans="1:7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</row>
    <row r="242" spans="1:7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</row>
    <row r="243" spans="1:7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</row>
    <row r="244" spans="1:7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</row>
    <row r="245" spans="1:7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</row>
    <row r="246" spans="1:7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</row>
    <row r="247" spans="1:7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</row>
    <row r="248" spans="1:7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</row>
    <row r="249" spans="1:7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</row>
    <row r="250" spans="1:7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</row>
    <row r="251" spans="1:7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</row>
    <row r="252" spans="1:7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</row>
    <row r="253" spans="1:7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</row>
    <row r="254" spans="1:7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</row>
    <row r="255" spans="1:7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</row>
    <row r="256" spans="1:7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</row>
    <row r="257" spans="1:7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</row>
    <row r="258" spans="1:7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</row>
    <row r="259" spans="1:7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</row>
    <row r="260" spans="1:7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</row>
    <row r="261" spans="1:7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</row>
    <row r="262" spans="1:7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</row>
    <row r="263" spans="1:7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</row>
    <row r="264" spans="1:7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</row>
    <row r="265" spans="1:7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</row>
    <row r="266" spans="1:7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7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</row>
    <row r="268" spans="1:7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</row>
    <row r="269" spans="1:7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7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</row>
    <row r="271" spans="1:7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</row>
    <row r="272" spans="1:7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7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</row>
    <row r="274" spans="1:7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</row>
    <row r="275" spans="1:7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</row>
    <row r="276" spans="1:7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</row>
    <row r="277" spans="1:7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</row>
    <row r="278" spans="1:7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</row>
    <row r="279" spans="1:7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</row>
    <row r="280" spans="1:7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</row>
    <row r="281" spans="1:7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7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</row>
    <row r="283" spans="1:7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</row>
    <row r="284" spans="1:7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7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</row>
    <row r="286" spans="1:7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</row>
    <row r="287" spans="1:7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7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</row>
    <row r="289" spans="1:7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</row>
    <row r="290" spans="1:7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</row>
    <row r="291" spans="1:7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</row>
    <row r="292" spans="1:7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</row>
    <row r="293" spans="1:7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</row>
    <row r="294" spans="1:7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</row>
    <row r="295" spans="1:7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</row>
    <row r="296" spans="1:7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</row>
    <row r="297" spans="1:7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</row>
    <row r="298" spans="1:7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</row>
    <row r="299" spans="1:7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</row>
    <row r="300" spans="1:7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</row>
    <row r="301" spans="1:7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</row>
    <row r="302" spans="1:7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</row>
    <row r="303" spans="1:7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</row>
    <row r="304" spans="1:7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</row>
    <row r="305" spans="1:7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</row>
    <row r="306" spans="1:7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</row>
    <row r="307" spans="1:7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</row>
    <row r="308" spans="1:7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</row>
    <row r="309" spans="1:7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</row>
    <row r="310" spans="1:7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</row>
    <row r="311" spans="1:7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</row>
    <row r="312" spans="1:7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</row>
    <row r="313" spans="1:7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</row>
    <row r="314" spans="1:7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</row>
    <row r="315" spans="1:7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</row>
    <row r="316" spans="1:7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</row>
    <row r="317" spans="1:7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</row>
    <row r="318" spans="1:7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</row>
    <row r="319" spans="1:7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</row>
    <row r="320" spans="1:7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</row>
    <row r="321" spans="1:7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</row>
    <row r="322" spans="1:7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</row>
    <row r="323" spans="1:7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</row>
    <row r="324" spans="1:7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</row>
    <row r="325" spans="1:7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</row>
    <row r="326" spans="1:7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</row>
    <row r="327" spans="1:7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</row>
    <row r="328" spans="1:7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</row>
    <row r="329" spans="1:7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</row>
    <row r="330" spans="1:7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</row>
    <row r="331" spans="1:7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</row>
    <row r="332" spans="1:7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</row>
    <row r="333" spans="1:7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</row>
    <row r="334" spans="1:7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</row>
    <row r="335" spans="1:7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</row>
    <row r="336" spans="1:7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</row>
    <row r="337" spans="1:7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</row>
    <row r="338" spans="1:7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</row>
    <row r="339" spans="1:7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</row>
    <row r="340" spans="1:7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</row>
    <row r="341" spans="1:7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</row>
    <row r="342" spans="1:7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</row>
    <row r="343" spans="1:7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</row>
    <row r="344" spans="1:7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</row>
    <row r="345" spans="1:7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</row>
    <row r="346" spans="1:7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</row>
    <row r="347" spans="1:7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</row>
    <row r="348" spans="1:7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</row>
    <row r="349" spans="1:7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</row>
    <row r="350" spans="1:7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</row>
    <row r="351" spans="1:7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</row>
    <row r="352" spans="1:7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</row>
    <row r="353" spans="1:7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</row>
    <row r="354" spans="1:7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</row>
    <row r="355" spans="1:7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</row>
    <row r="356" spans="1:7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</row>
    <row r="357" spans="1:7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</row>
    <row r="358" spans="1:7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</row>
    <row r="359" spans="1:7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</row>
    <row r="360" spans="1:7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</row>
    <row r="361" spans="1:7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</row>
    <row r="362" spans="1:7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</row>
    <row r="363" spans="1:7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</row>
    <row r="364" spans="1:7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</row>
    <row r="365" spans="1:7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</row>
    <row r="366" spans="1:7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</row>
    <row r="367" spans="1:7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</row>
    <row r="368" spans="1:7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</row>
    <row r="369" spans="1:7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</row>
    <row r="370" spans="1:7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</row>
    <row r="371" spans="1:7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</row>
    <row r="372" spans="1:7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</row>
    <row r="373" spans="1:7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</row>
    <row r="374" spans="1:7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</row>
    <row r="375" spans="1:7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</row>
    <row r="376" spans="1:7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</row>
    <row r="377" spans="1:7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</row>
    <row r="378" spans="1:7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</row>
    <row r="379" spans="1:7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</row>
    <row r="380" spans="1:7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</row>
    <row r="381" spans="1:7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</row>
    <row r="382" spans="1:7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</row>
    <row r="383" spans="1:7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</row>
    <row r="384" spans="1:7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</row>
    <row r="385" spans="1:7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</row>
    <row r="386" spans="1:7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</row>
    <row r="387" spans="1:7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</row>
    <row r="388" spans="1:7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</row>
    <row r="389" spans="1:7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</row>
    <row r="390" spans="1:7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</row>
    <row r="391" spans="1:7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</row>
    <row r="392" spans="1:7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</row>
    <row r="393" spans="1:7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</row>
    <row r="394" spans="1:7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</row>
    <row r="395" spans="1:7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</row>
    <row r="396" spans="1:7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</row>
    <row r="397" spans="1:7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</row>
    <row r="398" spans="1:7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</row>
    <row r="399" spans="1:7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</row>
    <row r="400" spans="1:7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</row>
    <row r="401" spans="1:7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</row>
    <row r="402" spans="1:7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</row>
    <row r="403" spans="1:7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</row>
    <row r="404" spans="1:7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</row>
    <row r="405" spans="1:7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</row>
    <row r="406" spans="1:7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</row>
    <row r="407" spans="1:7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</row>
    <row r="408" spans="1:7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</row>
    <row r="409" spans="1:7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</row>
    <row r="410" spans="1:7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</row>
    <row r="411" spans="1:7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</row>
    <row r="412" spans="1:7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</row>
    <row r="413" spans="1:7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</row>
    <row r="414" spans="1:7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</row>
    <row r="415" spans="1:7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</row>
    <row r="416" spans="1:7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</row>
    <row r="417" spans="1:7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</row>
    <row r="418" spans="1:7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</row>
    <row r="419" spans="1:7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</row>
    <row r="420" spans="1:7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</row>
    <row r="421" spans="1:7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</row>
    <row r="422" spans="1:7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</row>
    <row r="423" spans="1:7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</row>
    <row r="424" spans="1:7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</row>
    <row r="425" spans="1:7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</row>
    <row r="426" spans="1:7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</row>
    <row r="427" spans="1:7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</row>
    <row r="428" spans="1:7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</row>
    <row r="429" spans="1:7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</row>
    <row r="430" spans="1:7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</row>
    <row r="431" spans="1:7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</row>
    <row r="432" spans="1:7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</row>
    <row r="433" spans="1:7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</row>
    <row r="434" spans="1:7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</row>
    <row r="435" spans="1:7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</row>
    <row r="436" spans="1:7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</row>
    <row r="437" spans="1:7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</row>
    <row r="438" spans="1:7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</row>
    <row r="439" spans="1:7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</row>
    <row r="440" spans="1:7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</row>
    <row r="441" spans="1:7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</row>
    <row r="442" spans="1:7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</row>
    <row r="443" spans="1:7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</row>
    <row r="444" spans="1:7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</row>
    <row r="445" spans="1:7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</row>
    <row r="446" spans="1:7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</row>
    <row r="447" spans="1:7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</row>
    <row r="448" spans="1:7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</row>
    <row r="449" spans="1:7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</row>
    <row r="450" spans="1:7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</row>
    <row r="451" spans="1:7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</row>
    <row r="452" spans="1:7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</row>
    <row r="453" spans="1:7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</row>
    <row r="454" spans="1:7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</row>
    <row r="455" spans="1:7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</row>
    <row r="456" spans="1:7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</row>
    <row r="457" spans="1:7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</row>
    <row r="458" spans="1:7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</row>
    <row r="459" spans="1:7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</row>
    <row r="460" spans="1:7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</row>
    <row r="461" spans="1:7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</row>
    <row r="462" spans="1:7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</row>
    <row r="463" spans="1:7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</row>
    <row r="464" spans="1:7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</row>
    <row r="465" spans="1:7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</row>
    <row r="466" spans="1:7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</row>
    <row r="467" spans="1:7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</row>
    <row r="468" spans="1:7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</row>
    <row r="469" spans="1:7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</row>
    <row r="470" spans="1:7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</row>
    <row r="471" spans="1:7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</row>
    <row r="472" spans="1:7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</row>
    <row r="473" spans="1:7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</row>
    <row r="474" spans="1:7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</row>
    <row r="475" spans="1:7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</row>
    <row r="476" spans="1:7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</row>
    <row r="477" spans="1:7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</row>
    <row r="478" spans="1:7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</row>
    <row r="479" spans="1:7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</row>
    <row r="480" spans="1:7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</row>
    <row r="481" spans="1:7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</row>
    <row r="482" spans="1:7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</row>
    <row r="483" spans="1:7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</row>
    <row r="484" spans="1:7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</row>
    <row r="485" spans="1:7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</row>
    <row r="486" spans="1:7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</row>
    <row r="487" spans="1:7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</row>
    <row r="488" spans="1:7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</row>
    <row r="489" spans="1:7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</row>
    <row r="490" spans="1:7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</row>
    <row r="491" spans="1:7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</row>
    <row r="492" spans="1:7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</row>
    <row r="493" spans="1:7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</row>
    <row r="494" spans="1:7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</row>
    <row r="495" spans="1:7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</row>
    <row r="496" spans="1:7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</row>
    <row r="497" spans="1:7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</row>
    <row r="498" spans="1:7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</row>
    <row r="499" spans="1:7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</row>
    <row r="500" spans="1:7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</row>
    <row r="501" spans="1:7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</row>
    <row r="502" spans="1:7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</row>
    <row r="503" spans="1:7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</row>
    <row r="504" spans="1:7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</row>
    <row r="505" spans="1:7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</row>
    <row r="506" spans="1:7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</row>
    <row r="507" spans="1:7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</row>
    <row r="508" spans="1:7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</row>
    <row r="509" spans="1:7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</row>
    <row r="510" spans="1:7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</row>
    <row r="511" spans="1:7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</row>
    <row r="512" spans="1:7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</row>
    <row r="513" spans="1:7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</row>
    <row r="514" spans="1:7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</row>
    <row r="515" spans="1:7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</row>
    <row r="516" spans="1:7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</row>
    <row r="517" spans="1:7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</row>
    <row r="518" spans="1:7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</row>
    <row r="519" spans="1:7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</row>
    <row r="520" spans="1:7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</row>
    <row r="521" spans="1:7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</row>
    <row r="522" spans="1:7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</row>
    <row r="523" spans="1:7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</row>
    <row r="524" spans="1:7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</row>
    <row r="525" spans="1:7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</row>
    <row r="526" spans="1:7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</row>
    <row r="527" spans="1:7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</row>
    <row r="528" spans="1:7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</row>
    <row r="529" spans="1:7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</row>
    <row r="530" spans="1:7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</row>
    <row r="531" spans="1:7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</row>
    <row r="532" spans="1:7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</row>
    <row r="533" spans="1:7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</row>
    <row r="534" spans="1:7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</row>
    <row r="535" spans="1:7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</row>
    <row r="536" spans="1:7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</row>
    <row r="537" spans="1:7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</row>
    <row r="538" spans="1:7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</row>
    <row r="539" spans="1:7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</row>
    <row r="540" spans="1:7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</row>
    <row r="541" spans="1:7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</row>
    <row r="542" spans="1:7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</row>
    <row r="543" spans="1:7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</row>
    <row r="544" spans="1:7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</row>
    <row r="545" spans="1:7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</row>
    <row r="546" spans="1:7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</row>
    <row r="547" spans="1:7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</row>
    <row r="548" spans="1:7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</row>
    <row r="549" spans="1:7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</row>
    <row r="550" spans="1:7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</row>
    <row r="551" spans="1:7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</row>
    <row r="552" spans="1:7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</row>
    <row r="553" spans="1:7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</row>
    <row r="554" spans="1:7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</row>
    <row r="555" spans="1:7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</row>
    <row r="556" spans="1:7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</row>
    <row r="557" spans="1:7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</row>
    <row r="558" spans="1:7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</row>
    <row r="559" spans="1:7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</row>
    <row r="560" spans="1:7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</row>
    <row r="561" spans="1:7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</row>
    <row r="562" spans="1:7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</row>
    <row r="563" spans="1:7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</row>
    <row r="564" spans="1:7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</row>
    <row r="565" spans="1:7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</row>
    <row r="566" spans="1:7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</row>
    <row r="567" spans="1:7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</row>
    <row r="568" spans="1:7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</row>
    <row r="569" spans="1:7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</row>
    <row r="570" spans="1:7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</row>
    <row r="571" spans="1:7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</row>
    <row r="572" spans="1:7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</row>
    <row r="573" spans="1:7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</row>
    <row r="574" spans="1:7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</row>
    <row r="575" spans="1:7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</row>
    <row r="576" spans="1:7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</row>
    <row r="577" spans="1:7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</row>
    <row r="578" spans="1:7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</row>
    <row r="579" spans="1:7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</row>
    <row r="580" spans="1:7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</row>
    <row r="581" spans="1:7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</row>
    <row r="582" spans="1:7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</row>
    <row r="583" spans="1:7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</row>
    <row r="584" spans="1:7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</row>
    <row r="585" spans="1:7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</row>
    <row r="586" spans="1:7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</row>
    <row r="587" spans="1:7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</row>
    <row r="588" spans="1:7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</row>
    <row r="589" spans="1:7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</row>
    <row r="590" spans="1:7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</row>
    <row r="591" spans="1:7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</row>
    <row r="592" spans="1:7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</row>
    <row r="593" spans="1:7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</row>
    <row r="594" spans="1:7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</row>
    <row r="595" spans="1:7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</row>
    <row r="596" spans="1:7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</row>
    <row r="597" spans="1:77" x14ac:dyDescent="0.25"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</row>
    <row r="598" spans="1:77" x14ac:dyDescent="0.25"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</row>
    <row r="599" spans="1:77" x14ac:dyDescent="0.25"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</row>
    <row r="600" spans="1:77" x14ac:dyDescent="0.25"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</row>
    <row r="601" spans="1:77" x14ac:dyDescent="0.25"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</row>
    <row r="602" spans="1:77" x14ac:dyDescent="0.25"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</row>
    <row r="603" spans="1:77" x14ac:dyDescent="0.25"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</row>
    <row r="604" spans="1:77" x14ac:dyDescent="0.25"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</row>
    <row r="605" spans="1:77" x14ac:dyDescent="0.25"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</row>
    <row r="606" spans="1:77" x14ac:dyDescent="0.25"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</row>
    <row r="607" spans="1:77" x14ac:dyDescent="0.25"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</row>
    <row r="608" spans="1:77" x14ac:dyDescent="0.25"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</row>
    <row r="609" spans="41:77" x14ac:dyDescent="0.25"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</row>
  </sheetData>
  <mergeCells count="78">
    <mergeCell ref="A1:AJ1"/>
    <mergeCell ref="AG12:AG15"/>
    <mergeCell ref="AJ12:AJ15"/>
    <mergeCell ref="AG2:AJ2"/>
    <mergeCell ref="AG4:AG7"/>
    <mergeCell ref="AJ4:AJ7"/>
    <mergeCell ref="AG8:AG11"/>
    <mergeCell ref="AJ8:AJ11"/>
    <mergeCell ref="D12:D15"/>
    <mergeCell ref="A12:A15"/>
    <mergeCell ref="H4:H7"/>
    <mergeCell ref="H8:H11"/>
    <mergeCell ref="A4:A7"/>
    <mergeCell ref="A8:A11"/>
    <mergeCell ref="I4:I7"/>
    <mergeCell ref="I8:I11"/>
    <mergeCell ref="AB16:AB19"/>
    <mergeCell ref="Y16:Y19"/>
    <mergeCell ref="U9:U13"/>
    <mergeCell ref="U4:U8"/>
    <mergeCell ref="U14:U18"/>
    <mergeCell ref="U19:U23"/>
    <mergeCell ref="X4:X8"/>
    <mergeCell ref="X9:X13"/>
    <mergeCell ref="X14:X18"/>
    <mergeCell ref="X19:X23"/>
    <mergeCell ref="D16:D19"/>
    <mergeCell ref="H12:H15"/>
    <mergeCell ref="H16:H19"/>
    <mergeCell ref="I12:I15"/>
    <mergeCell ref="I16:I19"/>
    <mergeCell ref="E16:E19"/>
    <mergeCell ref="X24:X28"/>
    <mergeCell ref="U24:U28"/>
    <mergeCell ref="E12:E15"/>
    <mergeCell ref="L12:L15"/>
    <mergeCell ref="L16:L19"/>
    <mergeCell ref="T12:T15"/>
    <mergeCell ref="T16:T19"/>
    <mergeCell ref="Q16:Q19"/>
    <mergeCell ref="Q12:Q15"/>
    <mergeCell ref="A16:A19"/>
    <mergeCell ref="M12:M15"/>
    <mergeCell ref="P12:P15"/>
    <mergeCell ref="U2:X2"/>
    <mergeCell ref="L4:L7"/>
    <mergeCell ref="M8:M11"/>
    <mergeCell ref="M4:M7"/>
    <mergeCell ref="P8:P11"/>
    <mergeCell ref="P4:P7"/>
    <mergeCell ref="Q2:T2"/>
    <mergeCell ref="A2:D2"/>
    <mergeCell ref="I2:L2"/>
    <mergeCell ref="M2:P2"/>
    <mergeCell ref="D8:D11"/>
    <mergeCell ref="E2:H2"/>
    <mergeCell ref="L8:L11"/>
    <mergeCell ref="D4:D7"/>
    <mergeCell ref="E8:E11"/>
    <mergeCell ref="E4:E7"/>
    <mergeCell ref="Y12:Y15"/>
    <mergeCell ref="AB12:AB15"/>
    <mergeCell ref="Q4:Q7"/>
    <mergeCell ref="T4:T7"/>
    <mergeCell ref="T8:T11"/>
    <mergeCell ref="Q8:Q11"/>
    <mergeCell ref="Y2:AB2"/>
    <mergeCell ref="Y4:Y7"/>
    <mergeCell ref="AB4:AB7"/>
    <mergeCell ref="Y8:Y11"/>
    <mergeCell ref="AB8:AB11"/>
    <mergeCell ref="AC12:AC15"/>
    <mergeCell ref="AF12:AF15"/>
    <mergeCell ref="AC2:AF2"/>
    <mergeCell ref="AC4:AC7"/>
    <mergeCell ref="AF4:AF7"/>
    <mergeCell ref="AC8:AC11"/>
    <mergeCell ref="AF8:AF11"/>
  </mergeCells>
  <conditionalFormatting sqref="L4:L19 X4 X9 X14 X19 X24">
    <cfRule type="cellIs" dxfId="39" priority="79" operator="greaterThan">
      <formula>0</formula>
    </cfRule>
    <cfRule type="cellIs" dxfId="38" priority="80" operator="equal">
      <formula>0</formula>
    </cfRule>
  </conditionalFormatting>
  <conditionalFormatting sqref="P4:P15">
    <cfRule type="cellIs" dxfId="37" priority="77" operator="greaterThan">
      <formula>0</formula>
    </cfRule>
    <cfRule type="cellIs" dxfId="36" priority="78" operator="equal">
      <formula>0</formula>
    </cfRule>
  </conditionalFormatting>
  <conditionalFormatting sqref="T4 T8 T12 T16">
    <cfRule type="cellIs" dxfId="35" priority="75" operator="greaterThan">
      <formula>0</formula>
    </cfRule>
    <cfRule type="cellIs" dxfId="34" priority="76" operator="equal">
      <formula>0</formula>
    </cfRule>
  </conditionalFormatting>
  <conditionalFormatting sqref="F4:F19 V4:W28 R4:R7">
    <cfRule type="containsBlanks" dxfId="33" priority="58">
      <formula>LEN(TRIM(F4))=0</formula>
    </cfRule>
  </conditionalFormatting>
  <conditionalFormatting sqref="J4:J19">
    <cfRule type="containsBlanks" dxfId="32" priority="57">
      <formula>LEN(TRIM(J4))=0</formula>
    </cfRule>
  </conditionalFormatting>
  <conditionalFormatting sqref="S4:S7">
    <cfRule type="containsBlanks" dxfId="31" priority="65">
      <formula>LEN(TRIM(S4))=0</formula>
    </cfRule>
  </conditionalFormatting>
  <conditionalFormatting sqref="C4:C19">
    <cfRule type="containsBlanks" dxfId="30" priority="69">
      <formula>LEN(TRIM(C4))=0</formula>
    </cfRule>
  </conditionalFormatting>
  <conditionalFormatting sqref="G4:G19">
    <cfRule type="containsBlanks" dxfId="29" priority="68">
      <formula>LEN(TRIM(G4))=0</formula>
    </cfRule>
  </conditionalFormatting>
  <conditionalFormatting sqref="K4:K19">
    <cfRule type="containsBlanks" dxfId="28" priority="67">
      <formula>LEN(TRIM(K4))=0</formula>
    </cfRule>
  </conditionalFormatting>
  <conditionalFormatting sqref="D4:D19">
    <cfRule type="cellIs" dxfId="27" priority="63" operator="greaterThan">
      <formula>0</formula>
    </cfRule>
    <cfRule type="cellIs" dxfId="26" priority="64" operator="equal">
      <formula>0</formula>
    </cfRule>
  </conditionalFormatting>
  <conditionalFormatting sqref="H4:H19">
    <cfRule type="cellIs" dxfId="25" priority="61" operator="greaterThan">
      <formula>0</formula>
    </cfRule>
    <cfRule type="cellIs" dxfId="24" priority="62" operator="equal">
      <formula>0</formula>
    </cfRule>
  </conditionalFormatting>
  <conditionalFormatting sqref="B4:B19">
    <cfRule type="containsBlanks" dxfId="23" priority="59">
      <formula>LEN(TRIM(B4))=0</formula>
    </cfRule>
  </conditionalFormatting>
  <conditionalFormatting sqref="AB4:AB19">
    <cfRule type="cellIs" dxfId="22" priority="34" operator="greaterThan">
      <formula>0</formula>
    </cfRule>
    <cfRule type="cellIs" dxfId="21" priority="35" operator="equal">
      <formula>0</formula>
    </cfRule>
  </conditionalFormatting>
  <conditionalFormatting sqref="Z4:Z19">
    <cfRule type="containsBlanks" dxfId="20" priority="32">
      <formula>LEN(TRIM(Z4))=0</formula>
    </cfRule>
  </conditionalFormatting>
  <conditionalFormatting sqref="AA4:AA19">
    <cfRule type="containsBlanks" dxfId="19" priority="33">
      <formula>LEN(TRIM(AA4))=0</formula>
    </cfRule>
  </conditionalFormatting>
  <conditionalFormatting sqref="S8">
    <cfRule type="containsBlanks" dxfId="18" priority="20">
      <formula>LEN(TRIM(S8))=0</formula>
    </cfRule>
  </conditionalFormatting>
  <conditionalFormatting sqref="S10">
    <cfRule type="containsBlanks" dxfId="17" priority="19">
      <formula>LEN(TRIM(S10))=0</formula>
    </cfRule>
  </conditionalFormatting>
  <conditionalFormatting sqref="S9">
    <cfRule type="containsBlanks" dxfId="16" priority="18">
      <formula>LEN(TRIM(S9))=0</formula>
    </cfRule>
  </conditionalFormatting>
  <conditionalFormatting sqref="S11">
    <cfRule type="containsBlanks" dxfId="15" priority="17">
      <formula>LEN(TRIM(S11))=0</formula>
    </cfRule>
  </conditionalFormatting>
  <conditionalFormatting sqref="R8:R11">
    <cfRule type="containsBlanks" dxfId="14" priority="16">
      <formula>LEN(TRIM(R8))=0</formula>
    </cfRule>
  </conditionalFormatting>
  <conditionalFormatting sqref="R16:R19">
    <cfRule type="containsBlanks" dxfId="13" priority="12">
      <formula>LEN(TRIM(R16))=0</formula>
    </cfRule>
  </conditionalFormatting>
  <conditionalFormatting sqref="S12:S15">
    <cfRule type="containsBlanks" dxfId="12" priority="15">
      <formula>LEN(TRIM(S12))=0</formula>
    </cfRule>
  </conditionalFormatting>
  <conditionalFormatting sqref="R12:R15">
    <cfRule type="containsBlanks" dxfId="11" priority="14">
      <formula>LEN(TRIM(R12))=0</formula>
    </cfRule>
  </conditionalFormatting>
  <conditionalFormatting sqref="S16:S19">
    <cfRule type="containsBlanks" dxfId="10" priority="13">
      <formula>LEN(TRIM(S16))=0</formula>
    </cfRule>
  </conditionalFormatting>
  <conditionalFormatting sqref="AJ4:AJ15">
    <cfRule type="cellIs" dxfId="9" priority="10" operator="greaterThan">
      <formula>0</formula>
    </cfRule>
    <cfRule type="cellIs" dxfId="8" priority="11" operator="equal">
      <formula>0</formula>
    </cfRule>
  </conditionalFormatting>
  <conditionalFormatting sqref="AH4:AH15">
    <cfRule type="containsBlanks" dxfId="7" priority="8">
      <formula>LEN(TRIM(AH4))=0</formula>
    </cfRule>
  </conditionalFormatting>
  <conditionalFormatting sqref="AI4:AI15">
    <cfRule type="containsBlanks" dxfId="6" priority="9">
      <formula>LEN(TRIM(AI4))=0</formula>
    </cfRule>
  </conditionalFormatting>
  <conditionalFormatting sqref="AF4:AF15">
    <cfRule type="cellIs" dxfId="5" priority="6" operator="greaterThan">
      <formula>0</formula>
    </cfRule>
    <cfRule type="cellIs" dxfId="4" priority="7" operator="equal">
      <formula>0</formula>
    </cfRule>
  </conditionalFormatting>
  <conditionalFormatting sqref="AE4:AE15">
    <cfRule type="containsBlanks" dxfId="3" priority="5">
      <formula>LEN(TRIM(AE4))=0</formula>
    </cfRule>
  </conditionalFormatting>
  <conditionalFormatting sqref="AD4:AD15">
    <cfRule type="containsBlanks" dxfId="2" priority="3">
      <formula>LEN(TRIM(AD4))=0</formula>
    </cfRule>
  </conditionalFormatting>
  <conditionalFormatting sqref="N4:N15">
    <cfRule type="containsBlanks" dxfId="1" priority="1">
      <formula>LEN(TRIM(N4))=0</formula>
    </cfRule>
  </conditionalFormatting>
  <conditionalFormatting sqref="O4:O15">
    <cfRule type="containsBlanks" dxfId="0" priority="2">
      <formula>LEN(TRIM(O4))=0</formula>
    </cfRule>
  </conditionalFormatting>
  <hyperlinks>
    <hyperlink ref="B22" r:id="rId1"/>
    <hyperlink ref="B23" r:id="rId2"/>
    <hyperlink ref="B24" r:id="rId3"/>
    <hyperlink ref="B25" r:id="rId4"/>
  </hyperlinks>
  <pageMargins left="0.7" right="0.7" top="0.75" bottom="0.75" header="0.3" footer="0.3"/>
  <pageSetup paperSize="9" orientation="portrait" r:id="rId5"/>
  <ignoredErrors>
    <ignoredError sqref="D4:D19 H4:H19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5F6EEE744D84C8535A41C39A8CF0F" ma:contentTypeVersion="7" ma:contentTypeDescription="Crée un document." ma:contentTypeScope="" ma:versionID="c557c8b01c11feecd507fe52902cb833">
  <xsd:schema xmlns:xsd="http://www.w3.org/2001/XMLSchema" xmlns:xs="http://www.w3.org/2001/XMLSchema" xmlns:p="http://schemas.microsoft.com/office/2006/metadata/properties" xmlns:ns2="0fcbe8e2-35d4-4d74-af9b-13c761b6fc9d" targetNamespace="http://schemas.microsoft.com/office/2006/metadata/properties" ma:root="true" ma:fieldsID="2378113b983a07d410dcfb0e998797dd" ns2:_="">
    <xsd:import namespace="0fcbe8e2-35d4-4d74-af9b-13c761b6fc9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e8e2-35d4-4d74-af9b-13c761b6fc9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fcbe8e2-35d4-4d74-af9b-13c761b6fc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5E5879-8E83-4AD1-B738-FB70FA173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cbe8e2-35d4-4d74-af9b-13c761b6fc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BB9CAB-0E2B-4F7B-BB3B-6076ECD447D4}">
  <ds:schemaRefs>
    <ds:schemaRef ds:uri="http://schemas.microsoft.com/office/2006/metadata/properties"/>
    <ds:schemaRef ds:uri="http://schemas.microsoft.com/office/infopath/2007/PartnerControls"/>
    <ds:schemaRef ds:uri="0fcbe8e2-35d4-4d74-af9b-13c761b6fc9d"/>
  </ds:schemaRefs>
</ds:datastoreItem>
</file>

<file path=customXml/itemProps3.xml><?xml version="1.0" encoding="utf-8"?>
<ds:datastoreItem xmlns:ds="http://schemas.openxmlformats.org/officeDocument/2006/customXml" ds:itemID="{52F685E0-BB15-4DC5-A5B2-5C3E16193C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Yves MONNIER</dc:creator>
  <cp:keywords/>
  <dc:description/>
  <cp:lastModifiedBy>Elias AIT-BOUKHA</cp:lastModifiedBy>
  <cp:revision/>
  <dcterms:created xsi:type="dcterms:W3CDTF">2019-11-12T13:00:58Z</dcterms:created>
  <dcterms:modified xsi:type="dcterms:W3CDTF">2020-11-26T09:52:07Z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0x010100E675F6EEE744D84C8535A41C39A8CF0F</vt:lpwstr>
  </property>
</Properties>
</file>